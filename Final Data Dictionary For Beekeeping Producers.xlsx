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impl\Downloads\"/>
    </mc:Choice>
  </mc:AlternateContent>
  <xr:revisionPtr revIDLastSave="0" documentId="13_ncr:1_{F1109EEA-D54A-47BF-9411-755A9938D7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 Data Dictionary For Beek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26" i="1" l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H905" i="1"/>
  <c r="H904" i="1"/>
  <c r="H903" i="1"/>
  <c r="H902" i="1"/>
  <c r="H901" i="1"/>
  <c r="H900" i="1"/>
  <c r="H899" i="1"/>
  <c r="H898" i="1"/>
  <c r="H897" i="1"/>
  <c r="H895" i="1"/>
  <c r="H894" i="1"/>
  <c r="H893" i="1"/>
  <c r="H892" i="1"/>
  <c r="H889" i="1"/>
  <c r="H888" i="1"/>
  <c r="H887" i="1"/>
  <c r="H886" i="1"/>
  <c r="H885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6" i="1"/>
  <c r="H695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5" i="1"/>
  <c r="H64" i="1"/>
  <c r="H63" i="1"/>
  <c r="H62" i="1"/>
  <c r="H61" i="1"/>
  <c r="H60" i="1"/>
  <c r="H59" i="1"/>
  <c r="H58" i="1"/>
  <c r="H57" i="1"/>
  <c r="H56" i="1"/>
  <c r="H55" i="1"/>
  <c r="H54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8" i="1"/>
</calcChain>
</file>

<file path=xl/sharedStrings.xml><?xml version="1.0" encoding="utf-8"?>
<sst xmlns="http://schemas.openxmlformats.org/spreadsheetml/2006/main" count="5743" uniqueCount="2364">
  <si>
    <r>
      <rPr>
        <b/>
        <sz val="12"/>
        <color theme="1"/>
        <rFont val="Arial"/>
      </rPr>
      <t>S.No</t>
    </r>
    <r>
      <rPr>
        <b/>
        <sz val="12"/>
        <color theme="1"/>
        <rFont val="Arial"/>
      </rPr>
      <t>.</t>
    </r>
  </si>
  <si>
    <t>Variable Name</t>
  </si>
  <si>
    <t>Question (English)</t>
  </si>
  <si>
    <t>Question (Hindi)</t>
  </si>
  <si>
    <t>Type
(text/radio/checkbox/select/textarea/label/section)</t>
  </si>
  <si>
    <t>Input type Validation</t>
  </si>
  <si>
    <t>Mandatory</t>
  </si>
  <si>
    <t>Range Minimum</t>
  </si>
  <si>
    <t>Range Maximum</t>
  </si>
  <si>
    <r>
      <rPr>
        <b/>
        <sz val="12"/>
        <color theme="1"/>
        <rFont val="Arial"/>
      </rPr>
      <t xml:space="preserve">Relevance - 
Branching Logic 
</t>
    </r>
    <r>
      <rPr>
        <b/>
        <sz val="12"/>
        <color theme="1"/>
        <rFont val="Arial"/>
      </rPr>
      <t>(Show field only if...)</t>
    </r>
  </si>
  <si>
    <t>Underlying value(English)</t>
  </si>
  <si>
    <t>Underlying value(Hindi)</t>
  </si>
  <si>
    <t>Comments</t>
  </si>
  <si>
    <t>Description of Beekeeping Producer</t>
  </si>
  <si>
    <t>मधुमक्खी पालन उत्पादक का विवरण</t>
  </si>
  <si>
    <t>bkproducer_name</t>
  </si>
  <si>
    <t>Name of Beekeeping Producer</t>
  </si>
  <si>
    <t>मौनपालन उत्पादक का नाम</t>
  </si>
  <si>
    <t>Text</t>
  </si>
  <si>
    <t>Yes</t>
  </si>
  <si>
    <t>bkproducer_phone</t>
  </si>
  <si>
    <t>Mobile Number</t>
  </si>
  <si>
    <t>मोबाइल नंबर</t>
  </si>
  <si>
    <t>registration_onnbb</t>
  </si>
  <si>
    <t>Registration on NBB (National Bee Board-Rastriya Madhumakkhi Board)</t>
  </si>
  <si>
    <t>एनबीबी पर पंजीकरण</t>
  </si>
  <si>
    <t>Select</t>
  </si>
  <si>
    <r>
      <rPr>
        <sz val="12"/>
        <color theme="1"/>
        <rFont val="Arial"/>
      </rPr>
      <t>1,Yes|</t>
    </r>
    <r>
      <rPr>
        <sz val="12"/>
        <color rgb="FF000000"/>
        <rFont val="Arial"/>
      </rPr>
      <t>2,No</t>
    </r>
  </si>
  <si>
    <t>bkproducer_other_id</t>
  </si>
  <si>
    <t>Year / Registration No</t>
  </si>
  <si>
    <t>वर्ष/पंजीकरण संख्या</t>
  </si>
  <si>
    <t>[registration_onnbb]=1</t>
  </si>
  <si>
    <t>bkproducer_district</t>
  </si>
  <si>
    <t>District</t>
  </si>
  <si>
    <t>ज़िला</t>
  </si>
  <si>
    <t>Global Data Select</t>
  </si>
  <si>
    <t>Global variable</t>
  </si>
  <si>
    <t>bkproducer_block</t>
  </si>
  <si>
    <t>Block</t>
  </si>
  <si>
    <t>ब्लॉक</t>
  </si>
  <si>
    <t>bkproducer_village</t>
  </si>
  <si>
    <t>Village</t>
  </si>
  <si>
    <t>गाँव</t>
  </si>
  <si>
    <t>bkproducer_age</t>
  </si>
  <si>
    <t>Age</t>
  </si>
  <si>
    <t xml:space="preserve">आयु
</t>
  </si>
  <si>
    <t>integer</t>
  </si>
  <si>
    <t>bkproducer_gender</t>
  </si>
  <si>
    <t>Gender</t>
  </si>
  <si>
    <t xml:space="preserve">लिंग
</t>
  </si>
  <si>
    <t>1,Male|2,Female</t>
  </si>
  <si>
    <t>1,पुरूष|2,महिला|99,अन्य</t>
  </si>
  <si>
    <t>bkproducer_religion</t>
  </si>
  <si>
    <t>Religion</t>
  </si>
  <si>
    <t>धर्म</t>
  </si>
  <si>
    <t>1,Hindu|2,Muslim|3,Sikh|4,Christian</t>
  </si>
  <si>
    <t>1,हिन्दू|2,मुस्लिम|3,सिक्ख|4,ईसाई|99,अन्य</t>
  </si>
  <si>
    <t>1.10.</t>
  </si>
  <si>
    <t>bkproducer_caste</t>
  </si>
  <si>
    <t>Caste</t>
  </si>
  <si>
    <t xml:space="preserve">जाति
</t>
  </si>
  <si>
    <t>1,General|2,Backward Caste|3,Scheduled Caste|4,Scheduled Tribe</t>
  </si>
  <si>
    <t>1,सामान्य|2,पिछड़ी जाति|3,अनु0 जाति|4,अनु0 जनजाति|99,अन्य</t>
  </si>
  <si>
    <t>bkproducer_edu_level</t>
  </si>
  <si>
    <t>Educational Level</t>
  </si>
  <si>
    <t>शैक्षिक स्तर</t>
  </si>
  <si>
    <t>1,Uneducated|2,Educated|3,Primary|4,Secondary|5,High School|6,Intermediate|7,Graduate|8,Post-Graduate|9, ITI|10,Technical Education|99,Other</t>
  </si>
  <si>
    <t>1,अशिक्षित|2,शिक्षित|3,प्राथमिक|4,माध्यमिक|5,हाईस्कूल|6,इण्टर|7,स्नातक|8,स्नातकोत्तर|9,आई0टी0आई0|10,तकनीकि शिक्षा|99,अन्य</t>
  </si>
  <si>
    <t>1.11.1</t>
  </si>
  <si>
    <t>bkproducer_other_edu_level</t>
  </si>
  <si>
    <t>Other Educational Level</t>
  </si>
  <si>
    <t>अन्य शैक्षिक स्तर</t>
  </si>
  <si>
    <t>[bkproducer_edu_level]=99</t>
  </si>
  <si>
    <t>If you have chosen 'Other' for the Educational Level option,</t>
  </si>
  <si>
    <t>bkproducer_marital_status</t>
  </si>
  <si>
    <t>Marital Status</t>
  </si>
  <si>
    <t>वैवाहिक स्थिति</t>
  </si>
  <si>
    <t>select</t>
  </si>
  <si>
    <t>1,Married|2,Unmarried|3,Widow/Widower</t>
  </si>
  <si>
    <t>1,विवाहित|2,अविवाहित|3,विधवा/विधुर</t>
  </si>
  <si>
    <t>Family Demographics and Occupations</t>
  </si>
  <si>
    <t>परिवार की जनसंख्या और उनके काम-काज</t>
  </si>
  <si>
    <t>Total Number of Members in the Family</t>
  </si>
  <si>
    <t>परिवार में सदस्यों की कुल संख्या</t>
  </si>
  <si>
    <t>label</t>
  </si>
  <si>
    <t>1.13.1</t>
  </si>
  <si>
    <t>total_male</t>
  </si>
  <si>
    <t>Male (No.)</t>
  </si>
  <si>
    <t>1.13.2</t>
  </si>
  <si>
    <t>total_female</t>
  </si>
  <si>
    <t>Female (No.)</t>
  </si>
  <si>
    <t>1.13.3</t>
  </si>
  <si>
    <t>total_children</t>
  </si>
  <si>
    <t>Children (No.)</t>
  </si>
  <si>
    <t>Members working as Family Labor on Beekeeping</t>
  </si>
  <si>
    <t>मधुमक्खी पालन में परिवार के सदस्य काम करते हैं</t>
  </si>
  <si>
    <t>Label</t>
  </si>
  <si>
    <t>1.14.1</t>
  </si>
  <si>
    <t>total_male_labor</t>
  </si>
  <si>
    <t>Men (No.)</t>
  </si>
  <si>
    <t>1.14.2</t>
  </si>
  <si>
    <t>total_female_labor</t>
  </si>
  <si>
    <t>Women (No.)</t>
  </si>
  <si>
    <t>1.14.3</t>
  </si>
  <si>
    <t>total_children_labor</t>
  </si>
  <si>
    <t>main_occupation</t>
  </si>
  <si>
    <t>Main Occupation</t>
  </si>
  <si>
    <t>1,Agriculture|2,Forestry|3,Animal Husbandry/Fisheries|4,Mining|5,Construction|6,Manufacturing|7,Hotel|8,Trade|9,Industry|10,Transport|11,Government Job|12,Private Job|13,Agricultural Laborer|14,Non-Agricultural Laborer|99,Other</t>
  </si>
  <si>
    <t>1,कृषि|2,वानिकी|3,पशुपालन/मछलीपालन|4,खनन|5,निर्माण|6,विनिर्माण|7,होटल|8,व्यापार|9,उद्योग|10,परिवहन|11,सरकारी नौकरी|12,प्राइवेट नौकरी|13,कृषि मजदूर|14,गैर कृषि मजदूर|99,Other</t>
  </si>
  <si>
    <t>1.15.1</t>
  </si>
  <si>
    <t>other_bussiness</t>
  </si>
  <si>
    <t>Main Occupation - Other</t>
  </si>
  <si>
    <t>[main_occupation]=99</t>
  </si>
  <si>
    <t>If you have chosen 'Other' for the Main Occupation option,</t>
  </si>
  <si>
    <t>Land Use Details</t>
  </si>
  <si>
    <t>भूमि उपयोग विवरण</t>
  </si>
  <si>
    <t>landusedetails</t>
  </si>
  <si>
    <r>
      <rPr>
        <sz val="12"/>
        <color theme="1"/>
        <rFont val="Arial"/>
      </rPr>
      <t>1,Yes|</t>
    </r>
    <r>
      <rPr>
        <sz val="12"/>
        <color rgb="FF000000"/>
        <rFont val="Arial"/>
      </rPr>
      <t>2,No</t>
    </r>
  </si>
  <si>
    <t>(A) 2.</t>
  </si>
  <si>
    <t>Own Land</t>
  </si>
  <si>
    <t>अपनी भूमि</t>
  </si>
  <si>
    <t>[landusedetails]=1</t>
  </si>
  <si>
    <t>landusedetails_ownland</t>
  </si>
  <si>
    <t>Radio</t>
  </si>
  <si>
    <t>1,Yes|2,No</t>
  </si>
  <si>
    <t>(A) 2.1.</t>
  </si>
  <si>
    <t>own_land_area</t>
  </si>
  <si>
    <t>Area (in Bigha)</t>
  </si>
  <si>
    <t>Integer</t>
  </si>
  <si>
    <t>[landusedetails_ownland]=1</t>
  </si>
  <si>
    <t>(A) 2.2.</t>
  </si>
  <si>
    <t>own_land_irrigated</t>
  </si>
  <si>
    <t>Irrigated</t>
  </si>
  <si>
    <t>(A) 2.3.</t>
  </si>
  <si>
    <t>own_land_non_irrigated</t>
  </si>
  <si>
    <t>Non-irrigated</t>
  </si>
  <si>
    <t>(A) 2.4.</t>
  </si>
  <si>
    <t>own_land_irrigation_source</t>
  </si>
  <si>
    <t xml:space="preserve">Source of Irrigation </t>
  </si>
  <si>
    <t>सिंचाई का स्रोत</t>
  </si>
  <si>
    <t>1,Canal|2,Tubewell (Private)|3,Tubewell (Government)|4,Pumping Set|5,Pond/well</t>
  </si>
  <si>
    <t>1,नहर|2,नलकूप(निजी)|3,नलकूप (सरकारी)|4,पम्पिंगसेट|5,तालाब/कुआं</t>
  </si>
  <si>
    <t>(B) 2.</t>
  </si>
  <si>
    <t>Leased Out</t>
  </si>
  <si>
    <t>बटाई पर दी गयी</t>
  </si>
  <si>
    <t>landusedetails_leasedout</t>
  </si>
  <si>
    <t>(B) 2.1.</t>
  </si>
  <si>
    <t>leased_out_area</t>
  </si>
  <si>
    <t>[landusedetails_leasedout]=1</t>
  </si>
  <si>
    <t>(B) 2.2.</t>
  </si>
  <si>
    <t>leased_out_irrigated</t>
  </si>
  <si>
    <t>(B) 2.3.</t>
  </si>
  <si>
    <t>leased_out_non_irrigated</t>
  </si>
  <si>
    <t>(B) 2.4.</t>
  </si>
  <si>
    <t>leased_out_irrigation_source</t>
  </si>
  <si>
    <t>1,नहर|2,नलकूप(निजी)|3,नलकूप (सरकारी)|4,पम्पिंगसेट|5,तालाब/कुंआ</t>
  </si>
  <si>
    <t>(C) 2.</t>
  </si>
  <si>
    <t>Leased in</t>
  </si>
  <si>
    <t>बटाई पर ली गयी</t>
  </si>
  <si>
    <t>landusedetails_leasedin</t>
  </si>
  <si>
    <t>(C) 2.1.</t>
  </si>
  <si>
    <t>leased_in_area</t>
  </si>
  <si>
    <t>[landusedetails_leasedin]=1</t>
  </si>
  <si>
    <t>(C) 2.2.</t>
  </si>
  <si>
    <t>leased_in_irrigated</t>
  </si>
  <si>
    <t>(C) 2.3.</t>
  </si>
  <si>
    <t>leased_in_non_irrigated</t>
  </si>
  <si>
    <t>(C) 2.4.</t>
  </si>
  <si>
    <t>leased_in_irrigation_source</t>
  </si>
  <si>
    <t>(D) 2.</t>
  </si>
  <si>
    <t>Fallow/Wasteland</t>
  </si>
  <si>
    <t>परती/बंजर भूमि</t>
  </si>
  <si>
    <t>landusedetails_fallow</t>
  </si>
  <si>
    <t xml:space="preserve">परती/बंजर भूमि
</t>
  </si>
  <si>
    <t>(D) 2.1.</t>
  </si>
  <si>
    <t>fallow_wasteland_area</t>
  </si>
  <si>
    <t>[landusedetails_fallow]=1</t>
  </si>
  <si>
    <t>(D) 2.2.</t>
  </si>
  <si>
    <t>fallow_wasteland_irrigated</t>
  </si>
  <si>
    <t>(D) 2.3.</t>
  </si>
  <si>
    <t>fallow_wasteland_non_irrigated</t>
  </si>
  <si>
    <t>#</t>
  </si>
  <si>
    <t>Land Lease Details</t>
  </si>
  <si>
    <t>पट्टे की भूमि का विवरण</t>
  </si>
  <si>
    <t>Section</t>
  </si>
  <si>
    <t>2.1.</t>
  </si>
  <si>
    <t>How much rent did you take for the land you leased Out? (in Rs)</t>
  </si>
  <si>
    <t>आपने जो ज़मीन पट्टे पर दी थी उसका आपने कितना किराया लिया?</t>
  </si>
  <si>
    <t>2.1.1.</t>
  </si>
  <si>
    <t>leased_out_rent</t>
  </si>
  <si>
    <t>Land Rent (in Rs)</t>
  </si>
  <si>
    <t>भूमि का किराया</t>
  </si>
  <si>
    <t>2.2.</t>
  </si>
  <si>
    <t>How much rent did you pay for the land you leased in? (in Rs)</t>
  </si>
  <si>
    <t>आपने जो ज़मीन पट्टे पर ली थी उसका आपने कितना किराया दिया?</t>
  </si>
  <si>
    <t>2.2.1.</t>
  </si>
  <si>
    <t>leased_in_rent</t>
  </si>
  <si>
    <t>2.3.</t>
  </si>
  <si>
    <t>How many ‘Bighas’ are there in one ‘Acre’ here?</t>
  </si>
  <si>
    <t>आपके यहाँ एक एकड़ में कितने बीघे होते है।</t>
  </si>
  <si>
    <t>2.3.1.</t>
  </si>
  <si>
    <t>acre_in_biga</t>
  </si>
  <si>
    <t>Total Bighas</t>
  </si>
  <si>
    <t>Beekeeping Starting</t>
  </si>
  <si>
    <t>When did you start Beekeeping?</t>
  </si>
  <si>
    <t>आपने मौन पालन (मधुमक्खी पालन) करना कब से शुरू किया</t>
  </si>
  <si>
    <t>beekeeping_start_year</t>
  </si>
  <si>
    <t>Year</t>
  </si>
  <si>
    <t>How many colonies of beekeeping production do you currently have?</t>
  </si>
  <si>
    <t xml:space="preserve">वर्तमान में आपके पास मौन पालन (मधुमक्खी पालन) उत्पादन की कितनी कॉलोनियां है। </t>
  </si>
  <si>
    <t>colonies_number</t>
  </si>
  <si>
    <t>Number</t>
  </si>
  <si>
    <t>beheives_in_box</t>
  </si>
  <si>
    <t>How much behieves in one box</t>
  </si>
  <si>
    <t>आपके एक बॉक्स मे कितने छत्ते है ?</t>
  </si>
  <si>
    <t>colonies_cost</t>
  </si>
  <si>
    <t>From where do you purchase Beekeeping Colonies?</t>
  </si>
  <si>
    <t>मौन पालन (मधुमक्खी पालन) कॉलोनी कहाँ से खरीदी जाती है?</t>
  </si>
  <si>
    <t>3.2 From where do you purchase Beekeeping Colonies?</t>
  </si>
  <si>
    <t>cost_per_colonies</t>
  </si>
  <si>
    <t>Cost per Colony</t>
  </si>
  <si>
    <t xml:space="preserve">कॉलोनी की कीमत प्रति इकाई </t>
  </si>
  <si>
    <t>3.3 Cost per Colony</t>
  </si>
  <si>
    <t>How did you start Beekeeping?</t>
  </si>
  <si>
    <t>आपने मधुमक्खी पालन कैसे शुरू किया</t>
  </si>
  <si>
    <t>start_medium</t>
  </si>
  <si>
    <t>Checkbox</t>
  </si>
  <si>
    <t>1,From Parents/Through Inheritance (माता-पिता से/विरासत के माध्यम से)|2,Flock Catching (झुंड को पकड़ना)|3,Buying from the Market (बाज़ार से ख़रीद कर)|4,Given by Government or NGO (सरकार या एनजीओ द्वारा दिया गया)|5,From the Backyard / Courtyard (घर के पिछवाड़ा (आहाता)/ आँगन से)|6,From under the Balcony (छज्जे के नीचे से)|7,Hanging near the House (घर के पास लटके हुए से)|8,From the Forest (जंगल से)|99,Other (अन्य)</t>
  </si>
  <si>
    <t>1,माता-पितासे/विरासत के माध्यम से|2,झुंड को पकड़ना|3,बाज़ार से ख़रीद कर|4,सरकार या एनजीओ द्वारा दिया गया|5,घरकेपिछवाड़ा (आहाता)/आँगन से|6,छज्जे केनीचे से|7,घर के पास लटके हुए से|8,जंगल से|99,कोई अन्य (निर्दिष्ट करें)</t>
  </si>
  <si>
    <t>other_medium</t>
  </si>
  <si>
    <t>Any Other</t>
  </si>
  <si>
    <t>[start_medium]=99</t>
  </si>
  <si>
    <t>What is the total cost of Colony? (In Rupees)</t>
  </si>
  <si>
    <t>कुल कॉलोनी की कीमत क्या है?</t>
  </si>
  <si>
    <t>colonies_total_cost</t>
  </si>
  <si>
    <t>Colonies Total Cost</t>
  </si>
  <si>
    <t>Calculated Field
(colonies_number*cost_per_colonies)</t>
  </si>
  <si>
    <t>How many Bee Colonies do you have and how much are their value?</t>
  </si>
  <si>
    <t>आपके पास कितनी मधुमक्खी कालोनियाँ एवं उनकी कितनी कीमत हैं</t>
  </si>
  <si>
    <t>6.1.</t>
  </si>
  <si>
    <t>Source of Bee Colonies - Traditional</t>
  </si>
  <si>
    <t>मधुमक्खी कालोनियों का स्रोत - पारंपरिक</t>
  </si>
  <si>
    <t>source_beecol_traditional</t>
  </si>
  <si>
    <t>6.1.1.</t>
  </si>
  <si>
    <t>traditional_number</t>
  </si>
  <si>
    <t>[source_beecol_traditional]=1</t>
  </si>
  <si>
    <t>6.1.2.</t>
  </si>
  <si>
    <t>traditional_value</t>
  </si>
  <si>
    <t>Value/Unit</t>
  </si>
  <si>
    <t>6.1.3.</t>
  </si>
  <si>
    <t>traditional_source</t>
  </si>
  <si>
    <t>Source of Bee Colonies</t>
  </si>
  <si>
    <t>मधुमक्खी कालोनियों का स्रोत</t>
  </si>
  <si>
    <t>1,Backyard / Courtyard of House (घर के पिछवाड़े/आहाता)|2,Under the threshold of the House (घर की मुंडेर के नीचे)|3,Inside the House (घर के अंदर)|4,Hung on the Trees near the House (घर के पास पेड़ों पर लटका हुआ)|5,Hanging on Trees in the Forest (जंगलों में पेड़ों पर लटके हुए)|6,District Horticulture Department (जिला उद्यान विभाग)|7,NGO/Private Agency (किसी एन०जी०ओ / प्राइवेट एजेंसी)|99,Any Other (अन्य)</t>
  </si>
  <si>
    <t>6.1.3.1.</t>
  </si>
  <si>
    <t>traditional_source_other</t>
  </si>
  <si>
    <t>Source of Bee Colonies - Other</t>
  </si>
  <si>
    <t>[traditional_source]=99</t>
  </si>
  <si>
    <t>6.2.</t>
  </si>
  <si>
    <t>Source of Bee Colonies - Transitional</t>
  </si>
  <si>
    <t>मधुमक्खी कालोनियों का स्रोत - संक्रमणकालीन</t>
  </si>
  <si>
    <t>source_beecol_transitional</t>
  </si>
  <si>
    <t>6.2.1.</t>
  </si>
  <si>
    <t>transitional_number</t>
  </si>
  <si>
    <t>[source_beecol_transitional]=1</t>
  </si>
  <si>
    <t>6.2.2.</t>
  </si>
  <si>
    <t>transitional_value</t>
  </si>
  <si>
    <t>6.2.3.</t>
  </si>
  <si>
    <t>transitional_source</t>
  </si>
  <si>
    <t>6.2.3.1.</t>
  </si>
  <si>
    <t>transitional_source_other</t>
  </si>
  <si>
    <t>[transitional_source]=99</t>
  </si>
  <si>
    <t>6.3.</t>
  </si>
  <si>
    <t>Source of Bee Colonies - Modern</t>
  </si>
  <si>
    <t xml:space="preserve">मधुमक्खी कालोनियों का स्रोत - आधुनिक
</t>
  </si>
  <si>
    <t>source_beecol_modern</t>
  </si>
  <si>
    <t>6.3.1.</t>
  </si>
  <si>
    <t>modern_number</t>
  </si>
  <si>
    <t>[source_beecol_modern]=1</t>
  </si>
  <si>
    <t>6.3.2.</t>
  </si>
  <si>
    <t>modern_value</t>
  </si>
  <si>
    <t>6.3.3.</t>
  </si>
  <si>
    <t>modern_source</t>
  </si>
  <si>
    <t>6.3.3.1.</t>
  </si>
  <si>
    <t>modern_source_other</t>
  </si>
  <si>
    <t>[modern_source]=99</t>
  </si>
  <si>
    <t>beekeeping_type</t>
  </si>
  <si>
    <t>How do you do Beekeeping?</t>
  </si>
  <si>
    <t xml:space="preserve">आपके द्वारा मधुमक्खी पालन का कार्य किस प्रकार किया जाता है </t>
  </si>
  <si>
    <t>1,As an Ideal Interest (एक आदर्श रुचि के तौर पर)|2,As a Part-Time Business (        अंशकालिक व्यवसाय के रूप में)|3,Kind of Full-Time Business (पूर्णकालिक व्यवसाय की तरह)</t>
  </si>
  <si>
    <t>1,एक आदर्श रुचि के तौर पर|2,अंश कालिक व्यवसाय के रूप में|3,पूर्ण कालिक व्यवसाय की तरह</t>
  </si>
  <si>
    <t>beekeeping_migration</t>
  </si>
  <si>
    <t>During beekeeping, do you do migration with the colonies?</t>
  </si>
  <si>
    <t>मधुमक्खी पालन के दौरान क्या आपके द्वारा कालोनियों को लेकर माइग्रेसन किया जाता है?</t>
  </si>
  <si>
    <t>7.1.1.</t>
  </si>
  <si>
    <t>beekeeping_migration_number</t>
  </si>
  <si>
    <t>How many times a year (please specify the number)</t>
  </si>
  <si>
    <t>वर्ष मे कितनी बार(कृपया संख्या बताए)</t>
  </si>
  <si>
    <t>honey_qualtity_per_box</t>
  </si>
  <si>
    <t>How much honey can you produce per box at one time (Kg)</t>
  </si>
  <si>
    <t>आपके प्रति बॉक्स मे एक बार मे कितना शहद का उत्पादन हो जाता है(किग्रा)</t>
  </si>
  <si>
    <t>Details of Beekeeping Production</t>
  </si>
  <si>
    <t xml:space="preserve">मधुमक्खी पालन का उत्पादन विवरण </t>
  </si>
  <si>
    <t>section</t>
  </si>
  <si>
    <t>8.1.</t>
  </si>
  <si>
    <t>sr1_bee_varieties</t>
  </si>
  <si>
    <t>Varieties of Bee:</t>
  </si>
  <si>
    <t>8.1.1.</t>
  </si>
  <si>
    <t>sr1_bee_varities_name</t>
  </si>
  <si>
    <t>Varieties of Bee (Name)</t>
  </si>
  <si>
    <t>मधुमक्खी की किस्म</t>
  </si>
  <si>
    <t>[sr1_bee_varieties]=1</t>
  </si>
  <si>
    <t>1,Mustard Honey (सरसों का शहद)|2,Litchi Honey (लीची शहद)|3,Eucalyptus Honey (यूकेलिप्टस या नीलगिरी शहद)|4,Sunflower Honey (सूरजमुखी शहद)|99,Others (अन्य)</t>
  </si>
  <si>
    <t>8.1.1.1.</t>
  </si>
  <si>
    <t>sr1_bee_varities_name_other</t>
  </si>
  <si>
    <t>Varieties of Bee (Name) - Other</t>
  </si>
  <si>
    <t>[sr1_bee_varities_name]=99</t>
  </si>
  <si>
    <t>8.1.2.</t>
  </si>
  <si>
    <t>sr1_product_honey</t>
  </si>
  <si>
    <t>Honey</t>
  </si>
  <si>
    <t>हनी</t>
  </si>
  <si>
    <t>8.1.2.1.</t>
  </si>
  <si>
    <t>sr1_honey_qty</t>
  </si>
  <si>
    <t>Honey - Qty (Kg)</t>
  </si>
  <si>
    <t>[sr1_product_honey]=1</t>
  </si>
  <si>
    <t>8.1.2.2.</t>
  </si>
  <si>
    <t>sr1_honey_price</t>
  </si>
  <si>
    <t>Honey - Price (Rs/Kg)</t>
  </si>
  <si>
    <t>8.1.2.3.</t>
  </si>
  <si>
    <t>sr1_honey_productivity</t>
  </si>
  <si>
    <t>Productivity of Honey (Kg per box/colonies)</t>
  </si>
  <si>
    <t>शहद की उत्पादकता (किलो प्रति बॉक्स/कॉलोनी)</t>
  </si>
  <si>
    <r>
      <rPr>
        <sz val="12"/>
        <color theme="1"/>
        <rFont val="Arial"/>
      </rPr>
      <t xml:space="preserve">calculated Field
</t>
    </r>
    <r>
      <rPr>
        <b/>
        <sz val="12"/>
        <color theme="1"/>
        <rFont val="Arial"/>
      </rPr>
      <t>sr1_honey_qty/colonies_number</t>
    </r>
  </si>
  <si>
    <t>8.1.2.4.</t>
  </si>
  <si>
    <t>sr1_honey_productivity_under15kg_reason</t>
  </si>
  <si>
    <t>If productivity of honey is less than 15 Kg per box/colonies (Give Reason)</t>
  </si>
  <si>
    <t xml:space="preserve">यदि शहद की उत्पादकता प्रति बॉक्स/कालोनियों 15 किलोग्राम से कम है (कारण बताएं)
</t>
  </si>
  <si>
    <t>text</t>
  </si>
  <si>
    <t>8.1.2.5.</t>
  </si>
  <si>
    <t>sr1_honey_revenue</t>
  </si>
  <si>
    <t>Total Revenue of Honey (Rs)</t>
  </si>
  <si>
    <t xml:space="preserve">शहद का कुल आय (रुपये)
</t>
  </si>
  <si>
    <r>
      <rPr>
        <sz val="12"/>
        <color theme="1"/>
        <rFont val="Arial"/>
      </rPr>
      <t>calculated Field
(</t>
    </r>
    <r>
      <rPr>
        <b/>
        <sz val="12"/>
        <color theme="1"/>
        <rFont val="Arial"/>
      </rPr>
      <t>sr1_honey_qty</t>
    </r>
    <r>
      <rPr>
        <sz val="12"/>
        <color theme="1"/>
        <rFont val="Arial"/>
      </rPr>
      <t>*</t>
    </r>
    <r>
      <rPr>
        <b/>
        <sz val="12"/>
        <color theme="1"/>
        <rFont val="Arial"/>
      </rPr>
      <t>sr1_honey_price</t>
    </r>
    <r>
      <rPr>
        <sz val="12"/>
        <color theme="1"/>
        <rFont val="Arial"/>
      </rPr>
      <t>)</t>
    </r>
  </si>
  <si>
    <t>8.1.3.</t>
  </si>
  <si>
    <t>sr1_product_beeswax</t>
  </si>
  <si>
    <t>Beeswax</t>
  </si>
  <si>
    <t>बीवैक्स</t>
  </si>
  <si>
    <t>8.1.3.1.</t>
  </si>
  <si>
    <t>sr1_beeswax_qty</t>
  </si>
  <si>
    <t>Beeswax - Qty (Kg)</t>
  </si>
  <si>
    <t>[sr1_product_beeswax]=1</t>
  </si>
  <si>
    <t>8.1.3.2.</t>
  </si>
  <si>
    <t>sr1_beeswax_price</t>
  </si>
  <si>
    <t>Beeswax - Price (Rs/Kg)</t>
  </si>
  <si>
    <t>8.1.4.</t>
  </si>
  <si>
    <t>sr1_product_pollen</t>
  </si>
  <si>
    <t>Pollen</t>
  </si>
  <si>
    <t>पॉलेन</t>
  </si>
  <si>
    <t>8.1.4.1.</t>
  </si>
  <si>
    <t>sr1_pollen_qty</t>
  </si>
  <si>
    <t>Pollen - Qty (Kg)</t>
  </si>
  <si>
    <t>[sr1_product_pollen]=1</t>
  </si>
  <si>
    <t>8.1.4.2.</t>
  </si>
  <si>
    <t>sr1_pollen_price</t>
  </si>
  <si>
    <t>Pollen - Price (Rs/Kg)</t>
  </si>
  <si>
    <t>8.1.5.</t>
  </si>
  <si>
    <t>sr1_product_royaljelly</t>
  </si>
  <si>
    <t>Royal Jelly</t>
  </si>
  <si>
    <t>रॉयल जेली</t>
  </si>
  <si>
    <t>8.1.5.1.</t>
  </si>
  <si>
    <t>sr1_royaljelly_qty</t>
  </si>
  <si>
    <t>Royal Jelly - Qty (Kg)</t>
  </si>
  <si>
    <t>[sr1_product_royaljelly]=1</t>
  </si>
  <si>
    <t>8.1.5.2.</t>
  </si>
  <si>
    <t>sr1_royaljelly_price</t>
  </si>
  <si>
    <t>Royal Jelly - Price (Rs/Kg)</t>
  </si>
  <si>
    <t>8.1.6.</t>
  </si>
  <si>
    <t>sr1_product_propolis</t>
  </si>
  <si>
    <t>Propolis</t>
  </si>
  <si>
    <t>प्रोपॉलिस</t>
  </si>
  <si>
    <t>8.1.6.1.</t>
  </si>
  <si>
    <t>sr1_propolis_qty</t>
  </si>
  <si>
    <t>Propolis - Qty (Kg)</t>
  </si>
  <si>
    <t>[sr1_product_propolis]=1</t>
  </si>
  <si>
    <t>8.1.6.2.</t>
  </si>
  <si>
    <t>sr1_propolis_price</t>
  </si>
  <si>
    <t>Propolis - Price (Rs/Kg)</t>
  </si>
  <si>
    <t>8.1.7.</t>
  </si>
  <si>
    <t>sr1_product_venom</t>
  </si>
  <si>
    <t>Venom</t>
  </si>
  <si>
    <t>वेनोम</t>
  </si>
  <si>
    <t>8.1.7.1.</t>
  </si>
  <si>
    <t>sr1_venom_qty</t>
  </si>
  <si>
    <t>Venom - Qty (Kg)</t>
  </si>
  <si>
    <t>[sr1_product_venom]=1</t>
  </si>
  <si>
    <t>8.1.7.2.</t>
  </si>
  <si>
    <t>sr1_venom_price</t>
  </si>
  <si>
    <t>Venom - Price (Rs/Kg)</t>
  </si>
  <si>
    <t>8.1.8.</t>
  </si>
  <si>
    <t>sr1_product_rowbyproduct</t>
  </si>
  <si>
    <t>Total Row By-product</t>
  </si>
  <si>
    <t>कुल कच्चा सह- उत्पाद</t>
  </si>
  <si>
    <t>8.1.8.1.</t>
  </si>
  <si>
    <t>sr1_rowbyproduct_qty</t>
  </si>
  <si>
    <t>Row By Product - Qty (Kg)</t>
  </si>
  <si>
    <t>[sr1_product_rowbyproduct]=1</t>
  </si>
  <si>
    <t>8.1.8.2.</t>
  </si>
  <si>
    <t>sr1_rowbyproduct_price</t>
  </si>
  <si>
    <t>Row By Product - Price (Rs/Kg)</t>
  </si>
  <si>
    <t>8.1.9.</t>
  </si>
  <si>
    <t>sr1_beebox_numbers</t>
  </si>
  <si>
    <t>What is the total increase in bee box numbers?</t>
  </si>
  <si>
    <t>मधुमक्खी बक्सों की संख्या में कुल वृद्धि क्या है</t>
  </si>
  <si>
    <t>Cost of Production process under Beekeeping</t>
  </si>
  <si>
    <t>मौन पालन के अर्न्तगत उत्पादन प्रक्रिया की लागत</t>
  </si>
  <si>
    <t>9.1.</t>
  </si>
  <si>
    <t>Cost of Production process under Beekeeping:</t>
  </si>
  <si>
    <t>Fixed Cost</t>
  </si>
  <si>
    <t>स्थायी लागत</t>
  </si>
  <si>
    <t>9.1.2.</t>
  </si>
  <si>
    <t>sr1fc_beehive_box_number</t>
  </si>
  <si>
    <t>Fixed Cost - Beehive Box (No)</t>
  </si>
  <si>
    <t>मधुमक्खी का छत्ता बॉक्स</t>
  </si>
  <si>
    <t>[sr1fc_bee_varieties]=1</t>
  </si>
  <si>
    <t>9.1.3.</t>
  </si>
  <si>
    <t>sr1fc_per_box_cost</t>
  </si>
  <si>
    <t>Fixed Cost - Box Cost Per Box (Rs.)</t>
  </si>
  <si>
    <t>बॉक्स की लागत प्रति बॉक्स</t>
  </si>
  <si>
    <t>9.1.4.</t>
  </si>
  <si>
    <t>sr1fc_own_capital</t>
  </si>
  <si>
    <t>Fixed Cost - Own Capital (Rs.)</t>
  </si>
  <si>
    <t>स्वयं की पूंजी</t>
  </si>
  <si>
    <t>9.1.5.</t>
  </si>
  <si>
    <t>sr1fc_borrowed_capital</t>
  </si>
  <si>
    <t>Fixed Cost - Borrowed Capital (Rs.)</t>
  </si>
  <si>
    <t>उधार की पूंजी</t>
  </si>
  <si>
    <t>9.1.6.</t>
  </si>
  <si>
    <t>sr1fc_borrowed_capital_intrest</t>
  </si>
  <si>
    <t>Fixed Cost - Interest on Borrowed Capital (Rs.)</t>
  </si>
  <si>
    <t>उधार की पूंजी पर ब्याज</t>
  </si>
  <si>
    <t>Variable Cost</t>
  </si>
  <si>
    <t>परिवर्तनीय लागत</t>
  </si>
  <si>
    <t>9.1.7.</t>
  </si>
  <si>
    <t>sr1vc_labour_number</t>
  </si>
  <si>
    <t>Variable Cost - Un-Skilled Labor (No.)</t>
  </si>
  <si>
    <t>अकुशल श्रमिक संख्या</t>
  </si>
  <si>
    <t>9.1.8.</t>
  </si>
  <si>
    <t>sr1vc_worker_day_number</t>
  </si>
  <si>
    <t>Variable Cost - Workers (Day No.)</t>
  </si>
  <si>
    <t>अकुशल श्रमिक दिवस संख्या</t>
  </si>
  <si>
    <t>9.1.9.</t>
  </si>
  <si>
    <t>sr1vc_per_worker_wage</t>
  </si>
  <si>
    <t>Variable Cost - Wages per Worker (Rs. / Day)</t>
  </si>
  <si>
    <t>प्रति अकुशल श्रमिक मजदूरी(रु/श्रमिक)</t>
  </si>
  <si>
    <t>9.1.10.</t>
  </si>
  <si>
    <t>sr1vc_total_unskilled_labour_cost</t>
  </si>
  <si>
    <t>Variable Cost - Total Cost of Unskilled Labours (In Rs)</t>
  </si>
  <si>
    <t>अकुशल श्रमिकों की कुल लागत (रुपये में)</t>
  </si>
  <si>
    <r>
      <rPr>
        <sz val="12"/>
        <color theme="1"/>
        <rFont val="Arial"/>
      </rPr>
      <t>Caculated Field
(</t>
    </r>
    <r>
      <rPr>
        <b/>
        <sz val="12"/>
        <color theme="1"/>
        <rFont val="Arial"/>
      </rPr>
      <t>sr1vc_labour_number</t>
    </r>
    <r>
      <rPr>
        <sz val="12"/>
        <color theme="1"/>
        <rFont val="Arial"/>
      </rPr>
      <t>*</t>
    </r>
    <r>
      <rPr>
        <b/>
        <sz val="12"/>
        <color theme="1"/>
        <rFont val="Arial"/>
      </rPr>
      <t>sr1vc_worker_day_number</t>
    </r>
    <r>
      <rPr>
        <sz val="12"/>
        <color theme="1"/>
        <rFont val="Arial"/>
      </rPr>
      <t>*</t>
    </r>
    <r>
      <rPr>
        <b/>
        <sz val="12"/>
        <color theme="1"/>
        <rFont val="Arial"/>
      </rPr>
      <t>sr1vc_per_worker_wage</t>
    </r>
    <r>
      <rPr>
        <sz val="12"/>
        <color theme="1"/>
        <rFont val="Arial"/>
      </rPr>
      <t>)</t>
    </r>
  </si>
  <si>
    <t>9.1.11.</t>
  </si>
  <si>
    <t>sr1vc_skilledlabour_number</t>
  </si>
  <si>
    <t>Variable Cost - Skilled Labor (No.)</t>
  </si>
  <si>
    <t>कुशल श्रमिक संख्या</t>
  </si>
  <si>
    <t>sr1vc_skilledworker_day_number</t>
  </si>
  <si>
    <t>Variable Cost - Skilled Workers (Day No.)</t>
  </si>
  <si>
    <t>कुशल श्रमिक दिवस संख्या</t>
  </si>
  <si>
    <t>9.1.12.</t>
  </si>
  <si>
    <t>sr1vc_per_worker_skilledwage</t>
  </si>
  <si>
    <t>Variable Cost - Skilled Wages per Worker (Rs. / Day)</t>
  </si>
  <si>
    <t>प्रति श्रमिक मजदूरी (रु//कुशल श्रमिक)</t>
  </si>
  <si>
    <t>9.1.14.</t>
  </si>
  <si>
    <t>sr1vc_total_skilled_labour_cost</t>
  </si>
  <si>
    <t>Variable Cost - Total Cost of Skilled Labours (In Rs)</t>
  </si>
  <si>
    <t>कुशल श्रमिकों की कुल लागत (रुपये में)</t>
  </si>
  <si>
    <r>
      <rPr>
        <sz val="12"/>
        <color theme="1"/>
        <rFont val="Arial"/>
      </rPr>
      <t>Caculated Field
(</t>
    </r>
    <r>
      <rPr>
        <b/>
        <sz val="12"/>
        <color theme="1"/>
        <rFont val="Arial"/>
      </rPr>
      <t>sr1vc_skilledlabour_number</t>
    </r>
    <r>
      <rPr>
        <sz val="12"/>
        <color theme="1"/>
        <rFont val="Arial"/>
      </rPr>
      <t>*</t>
    </r>
    <r>
      <rPr>
        <b/>
        <sz val="12"/>
        <color theme="1"/>
        <rFont val="Arial"/>
      </rPr>
      <t>sr1vc_skilledworker_day_number</t>
    </r>
    <r>
      <rPr>
        <sz val="12"/>
        <color theme="1"/>
        <rFont val="Arial"/>
      </rPr>
      <t>*</t>
    </r>
    <r>
      <rPr>
        <b/>
        <sz val="12"/>
        <color theme="1"/>
        <rFont val="Arial"/>
      </rPr>
      <t>sr1vc_per_worker_skilledwage</t>
    </r>
    <r>
      <rPr>
        <sz val="12"/>
        <color theme="1"/>
        <rFont val="Arial"/>
      </rPr>
      <t>)</t>
    </r>
  </si>
  <si>
    <t>9.1.15.</t>
  </si>
  <si>
    <t>sr1vc_family_labour_day_number</t>
  </si>
  <si>
    <t>Variable Cost - Family Labor (Day No.)</t>
  </si>
  <si>
    <t>पारिवारिक श्रमिक संख्या</t>
  </si>
  <si>
    <t>9.1.16.</t>
  </si>
  <si>
    <t>sr1vc_raw_material</t>
  </si>
  <si>
    <t>Variable Cost - Raw Material (Rs.)</t>
  </si>
  <si>
    <t>कच्चा माल</t>
  </si>
  <si>
    <t>9.1.17.</t>
  </si>
  <si>
    <t>sr1vc_sugar_price</t>
  </si>
  <si>
    <t>Variable Cost - Price of Sugar (Rs.)</t>
  </si>
  <si>
    <t xml:space="preserve">चीनी की कीमत </t>
  </si>
  <si>
    <t>9.1.18.</t>
  </si>
  <si>
    <t>sr1vc_pest_management_cost</t>
  </si>
  <si>
    <t>Variable Cost - Pest Management Cost (Rs)</t>
  </si>
  <si>
    <t xml:space="preserve">कीट प्रबंधन लागत </t>
  </si>
  <si>
    <t>9.1.19.</t>
  </si>
  <si>
    <t>sr1vc_water_cost</t>
  </si>
  <si>
    <t>Variable Cost - Water Cost (Rs)</t>
  </si>
  <si>
    <t>पानी की लागत</t>
  </si>
  <si>
    <t>9.1.20.</t>
  </si>
  <si>
    <t>sr1vc_electricity_cost</t>
  </si>
  <si>
    <t>Variable Cost - Electricity Cost (Rs)</t>
  </si>
  <si>
    <t>बिजली व्यव</t>
  </si>
  <si>
    <t>9.1.21.</t>
  </si>
  <si>
    <t>sr1vc_picking_cost</t>
  </si>
  <si>
    <t>Variable Cost - Picking cost (Rs)</t>
  </si>
  <si>
    <t>तुड़ाई की लागत</t>
  </si>
  <si>
    <t>9.1.22.</t>
  </si>
  <si>
    <t>sr1vc_packing_cost</t>
  </si>
  <si>
    <t>Variable Cost - Packing cost (Rs)</t>
  </si>
  <si>
    <t>पैकिंग की लागत</t>
  </si>
  <si>
    <t>9.1.23.</t>
  </si>
  <si>
    <t>sr1vc_transportation_cost</t>
  </si>
  <si>
    <t>Variable Cost - Transportation cost (Rs)</t>
  </si>
  <si>
    <t>परिवहन की लागत</t>
  </si>
  <si>
    <t>9.1.24.</t>
  </si>
  <si>
    <t>sr1vc_miscellaneous_expenses</t>
  </si>
  <si>
    <t>Variable Cost - Miscellaneous expenses (Rs)</t>
  </si>
  <si>
    <t>विविध व्यय</t>
  </si>
  <si>
    <t>9.1.25.</t>
  </si>
  <si>
    <t>sr1vc_total_of_variable_costs</t>
  </si>
  <si>
    <t>Variable Cost - Total of Variable Costs (Rs)</t>
  </si>
  <si>
    <t>परिवर्तनीय लागत - परिवर्तनीय लागतों का कुल योग (रु.)</t>
  </si>
  <si>
    <t>Calculated Field
(sr1vc_total_unskilled_labour_cost+sr1vc_total_skilled_labour_cost+sr1vc_raw_material+sr1vc_sugar_price+sr1vc_pest_management_cost+sr1vc_water_cost+sr1vc_electricity_cost+sr1vc_picking_cost+sr1vc_packing_cost+sr1vc_transportation_cost+sr1vc_miscellaneous_expenses)
=MISS_SUM(sr1vc_total_unskilled_labour_cost,sr1vc_total_skilled_labour_cost,sr1vc_raw_material,sr1vc_sugar_price,sr1vc_pest_management_cost,sr1vc_water_cost,sr1vc_electricity_cost,sr1vc_picking_cost,sr1vc_packing_cost,sr1vc_transportation_cost,sr1vc_miscellaneous_expenses)</t>
  </si>
  <si>
    <t>9.1.26.</t>
  </si>
  <si>
    <t>sr1vc_profit</t>
  </si>
  <si>
    <t>Variable Cost - Profit (Rs)</t>
  </si>
  <si>
    <t>परिवर्तनीय लागत - लाभ (रु.)</t>
  </si>
  <si>
    <r>
      <rPr>
        <sz val="12"/>
        <color theme="1"/>
        <rFont val="Arial"/>
      </rPr>
      <t xml:space="preserve">Calculated Field
</t>
    </r>
    <r>
      <rPr>
        <b/>
        <sz val="12"/>
        <color theme="1"/>
        <rFont val="Arial"/>
      </rPr>
      <t xml:space="preserve">(sr1_honey_revenue-sr1vc_total_of_variable_costs)
</t>
    </r>
    <r>
      <rPr>
        <sz val="12"/>
        <color theme="1"/>
        <rFont val="Arial"/>
      </rPr>
      <t>=MISS_MINUS(sr1_honey_revenue,sr1vc_total_of_variable_costs)</t>
    </r>
  </si>
  <si>
    <t>Details of loss in Production under Beekeeping</t>
  </si>
  <si>
    <t>मौन पालन (मधुमक्खी पालन) के अर्न्तगत उत्पादन में नुकसान का विवरण</t>
  </si>
  <si>
    <t>10.1.</t>
  </si>
  <si>
    <t>preloss1_beekeeping_production</t>
  </si>
  <si>
    <t>Pre-Loss of Beekeeping Production (Quantity)</t>
  </si>
  <si>
    <t xml:space="preserve">मौन पालन उत्पादन के पूर्व का नुकसान </t>
  </si>
  <si>
    <t>[preloss1_beekeeping_production]=1</t>
  </si>
  <si>
    <t>10.1.1</t>
  </si>
  <si>
    <t>sr1_pree_loss_ncpl</t>
  </si>
  <si>
    <t>Natural Calamitie</t>
  </si>
  <si>
    <t>प्राकृतिक आपदा के कारण</t>
  </si>
  <si>
    <t>1,Storm / Cyclone (आंधी/तूफान)|2,Flood (बाढ़)|3,Fire (आग)|4,Hailstorm (ओलावृष्टि)|5,Drought (सूखा)|6,Unseasonal Rainfall (बेमौसम वर्षा/बारिश)|7,High Temperature (अधिक तापमान)</t>
  </si>
  <si>
    <t>1,आंधी/तूफान|2,बाढ़|3,आग|4,ओलावृष्टि|5,सूखा|6,बे-मौसम वर्षा/बारिश</t>
  </si>
  <si>
    <t>10.1.1.1</t>
  </si>
  <si>
    <t>sr1_pree_loss_ncpl_count</t>
  </si>
  <si>
    <t>Natural Calamitie (Loss)</t>
  </si>
  <si>
    <t>प्राकृतिक आपदा द्वारा नुकसान</t>
  </si>
  <si>
    <t>10.1.2</t>
  </si>
  <si>
    <t>sr1_pree_loss_dppl</t>
  </si>
  <si>
    <t>Due to Diseases and Pests</t>
  </si>
  <si>
    <t xml:space="preserve">रोग एवं कीट के कारण </t>
  </si>
  <si>
    <t>1,Ants (चींटियाँ)|2,Wax worms (मोम कीट)|3,Honey Badgers (शहद बिज्जू)|4,Bee-Eaters Birds (मधुमक्खी खाने वाले पक्षी)|5,Honeybees (छत्ता भृंग)|6,Spiders (मकड़ियाँ)|7,Termites (दीमक)|8,Lizards (छिपकलियाँ)</t>
  </si>
  <si>
    <t>1,चींटियाँ|2,मोमकीट|3,शहद बिज्जू|4,मधुमक्खी खाने वाले पक्षी|5,छत्ताभृंग| 6,मकड़ियाँ|7,दीमक|8,छिपकलियाँ</t>
  </si>
  <si>
    <t>10.1.2.1.</t>
  </si>
  <si>
    <t>sr1_pree_loss_dppl_count</t>
  </si>
  <si>
    <t>Due to Diseases and Pests (Loss)</t>
  </si>
  <si>
    <t>रोग एवं कीट के कारण नुकसान</t>
  </si>
  <si>
    <t>10.1.3</t>
  </si>
  <si>
    <t>sr1_pree_loss_swapl</t>
  </si>
  <si>
    <t>Due to Stray / Wild Animals</t>
  </si>
  <si>
    <t xml:space="preserve">आवारा / जंगली जानवरों के कारण </t>
  </si>
  <si>
    <t>10.1.4</t>
  </si>
  <si>
    <t>sr1_pree_loss_secmpl</t>
  </si>
  <si>
    <t>Side effects of Chemical Medicines</t>
  </si>
  <si>
    <t>रासायनिक दवाइयों के साइड इफ़ेक्ट के कारण नुकसान</t>
  </si>
  <si>
    <t>10.1.5</t>
  </si>
  <si>
    <t>sr1_pree_loss_total</t>
  </si>
  <si>
    <t>Total Pre-Loss of Beekeeping Production - Quantity (Kg)</t>
  </si>
  <si>
    <t>मधुमक्खी पालन उत्पादन का कुल पूर्व-नुकसान - मात्रा (किग्रा)</t>
  </si>
  <si>
    <r>
      <rPr>
        <sz val="10"/>
        <color theme="1"/>
        <rFont val="Arial"/>
      </rPr>
      <t>Calculated Field
(</t>
    </r>
    <r>
      <rPr>
        <b/>
        <sz val="10"/>
        <color theme="1"/>
        <rFont val="Arial"/>
      </rPr>
      <t>sr1_pree_loss_ncpl_count</t>
    </r>
    <r>
      <rPr>
        <sz val="10"/>
        <color theme="1"/>
        <rFont val="Arial"/>
      </rPr>
      <t>+</t>
    </r>
    <r>
      <rPr>
        <b/>
        <sz val="10"/>
        <color theme="1"/>
        <rFont val="Arial"/>
      </rPr>
      <t>sr1_pree_loss_dppl_count</t>
    </r>
    <r>
      <rPr>
        <sz val="10"/>
        <color theme="1"/>
        <rFont val="Arial"/>
      </rPr>
      <t>+</t>
    </r>
    <r>
      <rPr>
        <b/>
        <sz val="10"/>
        <color theme="1"/>
        <rFont val="Arial"/>
      </rPr>
      <t>sr1_pree_loss_swapl</t>
    </r>
    <r>
      <rPr>
        <sz val="10"/>
        <color theme="1"/>
        <rFont val="Arial"/>
      </rPr>
      <t>+</t>
    </r>
    <r>
      <rPr>
        <b/>
        <sz val="10"/>
        <color theme="1"/>
        <rFont val="Arial"/>
      </rPr>
      <t>sr1_pree_loss_secmpl</t>
    </r>
    <r>
      <rPr>
        <sz val="10"/>
        <color theme="1"/>
        <rFont val="Arial"/>
      </rPr>
      <t>)
=MISS_SUM(sr1_pree_loss_ncpl_count,sr1_pree_loss_dppl_count,sr1_pree_loss_swapl,sr1_pree_loss_secmpl)</t>
    </r>
  </si>
  <si>
    <t>Loss after Beekeeping Production (Quantity)</t>
  </si>
  <si>
    <t xml:space="preserve">मौन पालन उत्पादन के बाद का नुकसान </t>
  </si>
  <si>
    <t>10.1.6</t>
  </si>
  <si>
    <t>sr1_loss_after_wbpla</t>
  </si>
  <si>
    <t>Loss in Washing / Branding / Packaging</t>
  </si>
  <si>
    <t>धुलाई/ब्रान्डिंग/पैकेजिंग मे नुकसान</t>
  </si>
  <si>
    <t>10.1.7</t>
  </si>
  <si>
    <t>sr1_loss_after_tla</t>
  </si>
  <si>
    <t>Transportation</t>
  </si>
  <si>
    <t>परिवहन</t>
  </si>
  <si>
    <t>10.1.8</t>
  </si>
  <si>
    <t>sr1_loss_after_cpusla</t>
  </si>
  <si>
    <t>Crystallized Product unfit for Sale</t>
  </si>
  <si>
    <t>क्रिस्टलीकृत उत्पाद बेचने के लिए अनुपयुक्त है</t>
  </si>
  <si>
    <t>10.1.9</t>
  </si>
  <si>
    <t>sr1_loss_after_dbla</t>
  </si>
  <si>
    <t>Destruction of Beehives</t>
  </si>
  <si>
    <t>मधुमक्खी का छत्ता नष्ट हो जाना</t>
  </si>
  <si>
    <t>10.1.10</t>
  </si>
  <si>
    <t>sr1_loss_after_rla</t>
  </si>
  <si>
    <t>Reasons</t>
  </si>
  <si>
    <t>कारण</t>
  </si>
  <si>
    <t>10.1.11</t>
  </si>
  <si>
    <t>sr1_loss_after_total</t>
  </si>
  <si>
    <t>Total Loss after Beekeeping Production - Quantity (Kg)</t>
  </si>
  <si>
    <t>मधुमक्खी पालन उत्पादन के बाद कुल हानि - मात्रा (किग्रा)</t>
  </si>
  <si>
    <r>
      <rPr>
        <sz val="10"/>
        <color theme="1"/>
        <rFont val="Arial"/>
      </rPr>
      <t>Calculated Field
(</t>
    </r>
    <r>
      <rPr>
        <b/>
        <sz val="10"/>
        <color theme="1"/>
        <rFont val="Arial"/>
      </rPr>
      <t>sr1_loss_after_wbpla</t>
    </r>
    <r>
      <rPr>
        <sz val="10"/>
        <color theme="1"/>
        <rFont val="Arial"/>
      </rPr>
      <t>+</t>
    </r>
    <r>
      <rPr>
        <b/>
        <sz val="10"/>
        <color theme="1"/>
        <rFont val="Arial"/>
      </rPr>
      <t>sr1_loss_after_tla</t>
    </r>
    <r>
      <rPr>
        <sz val="10"/>
        <color theme="1"/>
        <rFont val="Arial"/>
      </rPr>
      <t>+</t>
    </r>
    <r>
      <rPr>
        <b/>
        <sz val="10"/>
        <color theme="1"/>
        <rFont val="Arial"/>
      </rPr>
      <t>sr1_loss_after_cpusla</t>
    </r>
    <r>
      <rPr>
        <sz val="10"/>
        <color theme="1"/>
        <rFont val="Arial"/>
      </rPr>
      <t>+</t>
    </r>
    <r>
      <rPr>
        <b/>
        <sz val="10"/>
        <color theme="1"/>
        <rFont val="Arial"/>
      </rPr>
      <t>sr1_loss_after_dbla</t>
    </r>
    <r>
      <rPr>
        <sz val="10"/>
        <color theme="1"/>
        <rFont val="Arial"/>
      </rPr>
      <t>)
=MISS_SUM(sr1_loss_after_wbpla,sr1_loss_after_tla,sr1_loss_after_cpusla,sr1_loss_after_dbla)</t>
    </r>
  </si>
  <si>
    <t>10.1.12</t>
  </si>
  <si>
    <t>sr1_aggregate_loss_total</t>
  </si>
  <si>
    <t>Aggregate-Loss of Beekeeping Production (Kg)</t>
  </si>
  <si>
    <t>मधुमक्खी पालन उत्पादन का कुल नुकसान (किग्रा)</t>
  </si>
  <si>
    <r>
      <rPr>
        <sz val="10"/>
        <color theme="1"/>
        <rFont val="Arial"/>
      </rPr>
      <t>Calculated Field
(</t>
    </r>
    <r>
      <rPr>
        <b/>
        <sz val="10"/>
        <color theme="1"/>
        <rFont val="Arial"/>
      </rPr>
      <t>sr1_pree_loss_total</t>
    </r>
    <r>
      <rPr>
        <sz val="10"/>
        <color theme="1"/>
        <rFont val="Arial"/>
      </rPr>
      <t>+</t>
    </r>
    <r>
      <rPr>
        <b/>
        <sz val="10"/>
        <color theme="1"/>
        <rFont val="Arial"/>
      </rPr>
      <t>sr1_loss_after_total</t>
    </r>
    <r>
      <rPr>
        <sz val="10"/>
        <color theme="1"/>
        <rFont val="Arial"/>
      </rPr>
      <t>)
=MISS_SUM(sr1_pree_loss_total,sr1_loss_after_total)</t>
    </r>
  </si>
  <si>
    <t>Availability of Empty Beehives in Beekeeping Boxes</t>
  </si>
  <si>
    <t>क्या आपके मधुमक्खी पालन बक्से में खाली छत्ते रह जाते है</t>
  </si>
  <si>
    <t>is_empty_box</t>
  </si>
  <si>
    <t>Are there empty Beehives left in your Beekeeping Boxes?</t>
  </si>
  <si>
    <t>1,हाँ|2,नहीं</t>
  </si>
  <si>
    <t>empty_box_number</t>
  </si>
  <si>
    <t>what is the number of empty Beehives you have?</t>
  </si>
  <si>
    <t>आपके पास खाली छत्तों की संख्या कितनी है</t>
  </si>
  <si>
    <t>[is_empty_box]=1</t>
  </si>
  <si>
    <t>is_adopt_protection</t>
  </si>
  <si>
    <t>Do you adopt ‘Protection’ and ‘Pest Management’ to prevent loss in Beekeeping?</t>
  </si>
  <si>
    <t>क्या आपके द्वारा मौन पालन (मधुमक्खी पालन) के अंतर्गत होने वाले नुकसान की रोकथाम के लिए सुरक्षा एवं कीट प्रबंधन अपनाया जाता है</t>
  </si>
  <si>
    <t>adopt_protection_type</t>
  </si>
  <si>
    <t>what type of Protection and Pest Management?</t>
  </si>
  <si>
    <t>किस प्रकार का सुरक्षा एवं कीट प्रबंधन</t>
  </si>
  <si>
    <t>[is_adopt_protection]=1</t>
  </si>
  <si>
    <t>1,By Chemical Spraying (रासायनिक छिड़काव द्वारा)|2,Biological Pest Management (जैविक कीट प्रबंधन)|3,Electrical Trap (For Stray Animals) - (इलेक्ट्रिकल ट्रैप-आवारा जानवरों हेतु)|99,Other (अन्य)</t>
  </si>
  <si>
    <t>1,रासायनिक छिड़काव द्वारा|2,जैविक कीट प्रबंधन|3,इलेक्ट्रिकल ट्रैप (आवारा जानवरों हेतु)|99,अन्य</t>
  </si>
  <si>
    <t>other_type_adopt_protection</t>
  </si>
  <si>
    <t>Other Protection</t>
  </si>
  <si>
    <t>अन्य सुरक्षा</t>
  </si>
  <si>
    <t>[adopt_protection_type]=99</t>
  </si>
  <si>
    <t>Selling details of Beekeeping Production</t>
  </si>
  <si>
    <t>मौन पालन (मधुमक्खी पालन) उत्पादन के बाद की बिक्री का विवरण</t>
  </si>
  <si>
    <t>13.1.</t>
  </si>
  <si>
    <t>Selling Details Of Beekeeping Production In 2021</t>
  </si>
  <si>
    <t>2021 मे मौन पालन (मधुमक्खी पालन) उत्पादन के बाद की बिक्री का विवरण</t>
  </si>
  <si>
    <t>2021_selling_detail</t>
  </si>
  <si>
    <t>(A) 13.1.1.</t>
  </si>
  <si>
    <t>2021_total_output</t>
  </si>
  <si>
    <t>Total Output</t>
  </si>
  <si>
    <t>[2021_selling_detail]=1</t>
  </si>
  <si>
    <t>13.1.2.</t>
  </si>
  <si>
    <t>2021_local_qty</t>
  </si>
  <si>
    <t>Local Shop - Quantity (%)</t>
  </si>
  <si>
    <t>स्थानीय दुकान - मात्रा (%)</t>
  </si>
  <si>
    <t>13.1.3.</t>
  </si>
  <si>
    <t>2021_local_price</t>
  </si>
  <si>
    <t>Local Shop - Price (Rs/Kg)</t>
  </si>
  <si>
    <t>स्थानीय दुकान - मूल्य (रुपये प्रति किग्रा)</t>
  </si>
  <si>
    <t>13.1.4.</t>
  </si>
  <si>
    <t>2021_local_dist</t>
  </si>
  <si>
    <t>Local Shop - Distance to Place of Sale (in KM)</t>
  </si>
  <si>
    <t xml:space="preserve">बिक्री स्थान की दूरी </t>
  </si>
  <si>
    <t>13.1.5.</t>
  </si>
  <si>
    <t>2021_fair_qty</t>
  </si>
  <si>
    <t>Fair/Exhibition - Quantity (%)</t>
  </si>
  <si>
    <t>मेला/प्रदर्शनी - मात्रा (%)</t>
  </si>
  <si>
    <t>13.1.6.</t>
  </si>
  <si>
    <t>2021_fair_price</t>
  </si>
  <si>
    <t>Fair/Exhibition - Price (Rs/Kg)</t>
  </si>
  <si>
    <t>मेला/प्रदर्शनी - मूल्य (रुपये प्रति किग्रा)</t>
  </si>
  <si>
    <t>13.1.7.</t>
  </si>
  <si>
    <t>2021_fair_dist</t>
  </si>
  <si>
    <t>Fair/Exhibition - Distance to Place of Sale (in KM)</t>
  </si>
  <si>
    <t>13.1.8.</t>
  </si>
  <si>
    <t>2021_consumer_qty</t>
  </si>
  <si>
    <t>Consumer - Quantity (%)</t>
  </si>
  <si>
    <t>उपभोक्ता - मात्रा (%)</t>
  </si>
  <si>
    <t>13.1.9.</t>
  </si>
  <si>
    <t>2021_consumer_price</t>
  </si>
  <si>
    <t>Consumer - Price (Rs/Kg)</t>
  </si>
  <si>
    <t>उपभोक्ता - मूल्य (रुपये प्रति किग्रा)</t>
  </si>
  <si>
    <t>13.1.10.</t>
  </si>
  <si>
    <t>2021_consumer_dist</t>
  </si>
  <si>
    <t>Consumer - Distance to Place of Sale (in KM)</t>
  </si>
  <si>
    <t>13.1.11.</t>
  </si>
  <si>
    <t>2021_private_qty</t>
  </si>
  <si>
    <t>Private Retailer - Quantity (Kg)</t>
  </si>
  <si>
    <t>निजी खुदरा विक्रेता - मात्रा (%)</t>
  </si>
  <si>
    <t>13.1.12.</t>
  </si>
  <si>
    <t>2021_private_price</t>
  </si>
  <si>
    <t>Private Retailer - Price (Rs/Kg)</t>
  </si>
  <si>
    <t>निजी खुदरा विक्रेता - मूल्य (रुपये प्रति किग्रा)</t>
  </si>
  <si>
    <t>13.1.13.</t>
  </si>
  <si>
    <t>2021_private_dist</t>
  </si>
  <si>
    <t>Private Retailer - Distance to Place of Sale (in KM)</t>
  </si>
  <si>
    <t>13.1.14.</t>
  </si>
  <si>
    <t>2021_honey_qty</t>
  </si>
  <si>
    <t>Honey Processing Unit - Quantity (Kg)</t>
  </si>
  <si>
    <t>शहद प्रोसेसिंग इकाई - मात्रा (%)</t>
  </si>
  <si>
    <t>13.1.15.</t>
  </si>
  <si>
    <t>2021_honey_price</t>
  </si>
  <si>
    <t>Honey Processing Unit - Price (Rs/Kg)</t>
  </si>
  <si>
    <t>शहद प्रोसेसिंग इकाई - मूल्य (रुपये प्रति किग्रा)</t>
  </si>
  <si>
    <t>13.1.16.</t>
  </si>
  <si>
    <t>2021_honey_dist</t>
  </si>
  <si>
    <t>Honey Processing Unit - Distance to Place of Sale (in KM)</t>
  </si>
  <si>
    <t>13.1.17.</t>
  </si>
  <si>
    <t>2021_honey_name</t>
  </si>
  <si>
    <t>Honey Processing Unit Name</t>
  </si>
  <si>
    <t>शहद प्रोसेसिंग इकाई  का नाम</t>
  </si>
  <si>
    <t>1,Dabur|2,Patanjali|3,Reliance Retail Ltd|4,Shri Baidyanath Ayurveda Bhavan Pvt. Ltd|5,EpisIndia|6,Emami Limited|7,Bharat Honey|8,Hit Curry Pharmacy Pvt. Ltd|9,Sri Baidyanath Ayurveda Bhavan Pvt. Ltd|10,Kejriwal Bcare India Pvt.|99,other (Please Specify)</t>
  </si>
  <si>
    <t>1,डाबर|2,पतंजलि|3,रिलायंस रिटेल लिमिटेड|4,श्री बैद्यनाथ आयुर्वेद भवन प्रा. लिमिटेड|5,एपिस इंडिया|6,इमामी लिमिटेड|7,भारत हनी|8,हिटकरी फार्मेसी प्राइवेट लिमिटेड|9,श्री बैद्यनाथ आयुर्वेद भवन प्राइवेट लिमिटेड|10,केजरीवाल बी केयर इंडिया प्रा.</t>
  </si>
  <si>
    <t>13.1.18.</t>
  </si>
  <si>
    <t>2021_honey_name_other</t>
  </si>
  <si>
    <t>Honey Processing Unit Name - Other</t>
  </si>
  <si>
    <t>शहद प्रोसेसिंग इकाई  का नाम - अन्य</t>
  </si>
  <si>
    <t>[2021_honey_name]=1</t>
  </si>
  <si>
    <t>13.1.19.</t>
  </si>
  <si>
    <t>2021_total_percentage_sell</t>
  </si>
  <si>
    <t>Total Percentage Sell</t>
  </si>
  <si>
    <t>बिक्री का कुल प्रतिशत</t>
  </si>
  <si>
    <r>
      <rPr>
        <sz val="10"/>
        <color theme="1"/>
        <rFont val="Arial"/>
      </rPr>
      <t>Calculated Field
(</t>
    </r>
    <r>
      <rPr>
        <b/>
        <sz val="10"/>
        <color theme="1"/>
        <rFont val="Arial"/>
      </rPr>
      <t>2021_local_qty</t>
    </r>
    <r>
      <rPr>
        <sz val="10"/>
        <color theme="1"/>
        <rFont val="Arial"/>
      </rPr>
      <t>+</t>
    </r>
    <r>
      <rPr>
        <b/>
        <sz val="10"/>
        <color theme="1"/>
        <rFont val="Arial"/>
      </rPr>
      <t>2021_fair_qty</t>
    </r>
    <r>
      <rPr>
        <sz val="10"/>
        <color theme="1"/>
        <rFont val="Arial"/>
      </rPr>
      <t>+</t>
    </r>
    <r>
      <rPr>
        <b/>
        <sz val="10"/>
        <color theme="1"/>
        <rFont val="Arial"/>
      </rPr>
      <t>2021_consumer_qty</t>
    </r>
    <r>
      <rPr>
        <sz val="10"/>
        <color theme="1"/>
        <rFont val="Arial"/>
      </rPr>
      <t>+</t>
    </r>
    <r>
      <rPr>
        <b/>
        <sz val="10"/>
        <color theme="1"/>
        <rFont val="Arial"/>
      </rPr>
      <t>2021_private_qty</t>
    </r>
    <r>
      <rPr>
        <sz val="10"/>
        <color theme="1"/>
        <rFont val="Arial"/>
      </rPr>
      <t>+</t>
    </r>
    <r>
      <rPr>
        <b/>
        <sz val="10"/>
        <color theme="1"/>
        <rFont val="Arial"/>
      </rPr>
      <t>2021_honey_qty</t>
    </r>
    <r>
      <rPr>
        <sz val="10"/>
        <color theme="1"/>
        <rFont val="Arial"/>
      </rPr>
      <t>)
=MISS_SUM(2021_local_qty,2021_fair_qty,2021_consumer_qty,2021_private_qty,2021_honey_qty)</t>
    </r>
  </si>
  <si>
    <t>13.2.</t>
  </si>
  <si>
    <t>Selling Details Of Beekeeping Production In 2022</t>
  </si>
  <si>
    <t>2022 मे मौन पालन (मधुमक्खी पालन) उत्पादन के बाद की बिक्री का विवरण</t>
  </si>
  <si>
    <t>13.3.</t>
  </si>
  <si>
    <t>2022_selling_detail</t>
  </si>
  <si>
    <t>(A) 13.3.1.</t>
  </si>
  <si>
    <t>2022_total_output</t>
  </si>
  <si>
    <t>[2022_selling_detail]=1</t>
  </si>
  <si>
    <t>13.3.2.</t>
  </si>
  <si>
    <t>2022_local_qty</t>
  </si>
  <si>
    <t>Local Shop - Quantity (Kg)</t>
  </si>
  <si>
    <t>13.3.3.</t>
  </si>
  <si>
    <t>2022_local_price</t>
  </si>
  <si>
    <t>13.3.4.</t>
  </si>
  <si>
    <t>2022_local_dist</t>
  </si>
  <si>
    <t>13.3.5.</t>
  </si>
  <si>
    <t>2022_fair_qty</t>
  </si>
  <si>
    <t>Fair/Exhibition - Quantity (Kg)</t>
  </si>
  <si>
    <t>13.3.6.</t>
  </si>
  <si>
    <t>2022_fair_price</t>
  </si>
  <si>
    <t>13.3.7.</t>
  </si>
  <si>
    <t>2022_fair_dist</t>
  </si>
  <si>
    <t>13.3.8.</t>
  </si>
  <si>
    <t>2022_consumer_qty</t>
  </si>
  <si>
    <t>Consumer - Quantity (Kg)</t>
  </si>
  <si>
    <t>13.3.9.</t>
  </si>
  <si>
    <t>2022_consumer_price</t>
  </si>
  <si>
    <t>13.3.10.</t>
  </si>
  <si>
    <t>2022_consumer_dist</t>
  </si>
  <si>
    <t>13.3.11.</t>
  </si>
  <si>
    <t>2022_private_qty</t>
  </si>
  <si>
    <t>13.3.12.</t>
  </si>
  <si>
    <t>2022_private_price</t>
  </si>
  <si>
    <t>13.3.13.</t>
  </si>
  <si>
    <t>2022_private_dist</t>
  </si>
  <si>
    <t>13.3.14.</t>
  </si>
  <si>
    <t>2022_honey_qty</t>
  </si>
  <si>
    <t>13.3.15.</t>
  </si>
  <si>
    <t>2022_honey_price</t>
  </si>
  <si>
    <t>13.3.16.</t>
  </si>
  <si>
    <t>2022_honey_dist</t>
  </si>
  <si>
    <t>13.3.17.</t>
  </si>
  <si>
    <t>2022_honey_name</t>
  </si>
  <si>
    <t>1,Dabur|
2,Patanjali|
3,Reliance Retail Ltd|
4,Shri Baidyanath Ayurveda Bhavan Pvt. Ltd|
5,EpisIndia|
6,Emami Limited|
7,Bharat Honey|
8,Hit Curry Pharmacy Pvt. Ltd|
9,Sri Baidyanath Ayurveda Bhavan Pvt. Ltd|
10,Kejriwal Bcare India Pvt.|
99,Other (Please Specify)</t>
  </si>
  <si>
    <t>13.3.18.</t>
  </si>
  <si>
    <t>2022_honey_name_other</t>
  </si>
  <si>
    <t>[2022_honey_name]=99</t>
  </si>
  <si>
    <t>13.3.19.</t>
  </si>
  <si>
    <t>2022_total_percentage_sell</t>
  </si>
  <si>
    <r>
      <rPr>
        <sz val="10"/>
        <color theme="1"/>
        <rFont val="Arial"/>
      </rPr>
      <t>Calculated Field
(</t>
    </r>
    <r>
      <rPr>
        <b/>
        <sz val="10"/>
        <color theme="1"/>
        <rFont val="Arial"/>
      </rPr>
      <t>2022_local_qty</t>
    </r>
    <r>
      <rPr>
        <sz val="10"/>
        <color theme="1"/>
        <rFont val="Arial"/>
      </rPr>
      <t>+</t>
    </r>
    <r>
      <rPr>
        <b/>
        <sz val="10"/>
        <color theme="1"/>
        <rFont val="Arial"/>
      </rPr>
      <t>2022_fair_qty</t>
    </r>
    <r>
      <rPr>
        <sz val="10"/>
        <color theme="1"/>
        <rFont val="Arial"/>
      </rPr>
      <t>+</t>
    </r>
    <r>
      <rPr>
        <b/>
        <sz val="10"/>
        <color theme="1"/>
        <rFont val="Arial"/>
      </rPr>
      <t>2022_consumer_qty</t>
    </r>
    <r>
      <rPr>
        <sz val="10"/>
        <color theme="1"/>
        <rFont val="Arial"/>
      </rPr>
      <t>+</t>
    </r>
    <r>
      <rPr>
        <b/>
        <sz val="10"/>
        <color theme="1"/>
        <rFont val="Arial"/>
      </rPr>
      <t>2022_private_qty</t>
    </r>
    <r>
      <rPr>
        <sz val="10"/>
        <color theme="1"/>
        <rFont val="Arial"/>
      </rPr>
      <t>+</t>
    </r>
    <r>
      <rPr>
        <b/>
        <sz val="10"/>
        <color theme="1"/>
        <rFont val="Arial"/>
      </rPr>
      <t>2022_honey_qty</t>
    </r>
    <r>
      <rPr>
        <sz val="10"/>
        <color theme="1"/>
        <rFont val="Arial"/>
      </rPr>
      <t>)
=MISS_SUM(2022_local_qty,2022_fair_qty,2022_consumer_qty,2022_private_qty,2022_honey_qty)</t>
    </r>
  </si>
  <si>
    <t>[2022_honey_name]=1</t>
  </si>
  <si>
    <t>13.5.</t>
  </si>
  <si>
    <t>Selling Details Of Beekeeping Production In 2023</t>
  </si>
  <si>
    <t>2023 मे मौन पालन (मधुमक्खी पालन) उत्पादन के बाद की बिक्री का विवरण</t>
  </si>
  <si>
    <t>2023_selling_detail</t>
  </si>
  <si>
    <t>(A) 13.5.1.</t>
  </si>
  <si>
    <t>2023_total_output</t>
  </si>
  <si>
    <t>[2023_selling_detail]=1</t>
  </si>
  <si>
    <t>13.5.2.</t>
  </si>
  <si>
    <t>2023_local_qty</t>
  </si>
  <si>
    <t>13.5.3.</t>
  </si>
  <si>
    <t>2023_local_price</t>
  </si>
  <si>
    <t>13.5.4.</t>
  </si>
  <si>
    <t>2023_local_dist</t>
  </si>
  <si>
    <t>13.5.5.</t>
  </si>
  <si>
    <t>2023_fair_qty</t>
  </si>
  <si>
    <t>13.5.6.</t>
  </si>
  <si>
    <t>2023_fair_price</t>
  </si>
  <si>
    <t>13.5.7.</t>
  </si>
  <si>
    <t>2023_fair_dist</t>
  </si>
  <si>
    <t>13.5.8.</t>
  </si>
  <si>
    <t>2023_consumer_qty</t>
  </si>
  <si>
    <t>13.5.9.</t>
  </si>
  <si>
    <t>2023_consumer_price</t>
  </si>
  <si>
    <t>13.5.10.</t>
  </si>
  <si>
    <t>2023_consumer_dist</t>
  </si>
  <si>
    <t>13.5.11.</t>
  </si>
  <si>
    <t>2023_private_qty</t>
  </si>
  <si>
    <t>13.5.12.</t>
  </si>
  <si>
    <t>2023_private_price</t>
  </si>
  <si>
    <t>13.5.13.</t>
  </si>
  <si>
    <t>2023_private_dist</t>
  </si>
  <si>
    <t>13.5.14.</t>
  </si>
  <si>
    <t>2023_honey_qty</t>
  </si>
  <si>
    <t>13.5.15.</t>
  </si>
  <si>
    <t>2023_honey_price</t>
  </si>
  <si>
    <t>13.5.16.</t>
  </si>
  <si>
    <t>2023_honey_dist</t>
  </si>
  <si>
    <t>13.5.17.</t>
  </si>
  <si>
    <t>2023_honey_name</t>
  </si>
  <si>
    <t>13.5.18.</t>
  </si>
  <si>
    <t>2023_honey_name_other</t>
  </si>
  <si>
    <t>[2023_honey_name]=99</t>
  </si>
  <si>
    <t>13.5.19.</t>
  </si>
  <si>
    <t>2023_total_percentage_sell</t>
  </si>
  <si>
    <r>
      <rPr>
        <sz val="10"/>
        <color theme="1"/>
        <rFont val="Arial"/>
      </rPr>
      <t>Calculated Field
(</t>
    </r>
    <r>
      <rPr>
        <b/>
        <sz val="10"/>
        <color theme="1"/>
        <rFont val="Arial"/>
      </rPr>
      <t>2023_local_qty</t>
    </r>
    <r>
      <rPr>
        <sz val="10"/>
        <color theme="1"/>
        <rFont val="Arial"/>
      </rPr>
      <t>+</t>
    </r>
    <r>
      <rPr>
        <b/>
        <sz val="10"/>
        <color theme="1"/>
        <rFont val="Arial"/>
      </rPr>
      <t>2023_fair_qty</t>
    </r>
    <r>
      <rPr>
        <sz val="10"/>
        <color theme="1"/>
        <rFont val="Arial"/>
      </rPr>
      <t>+</t>
    </r>
    <r>
      <rPr>
        <b/>
        <sz val="10"/>
        <color theme="1"/>
        <rFont val="Arial"/>
      </rPr>
      <t>2023_consumer_qty</t>
    </r>
    <r>
      <rPr>
        <sz val="10"/>
        <color theme="1"/>
        <rFont val="Arial"/>
      </rPr>
      <t>+</t>
    </r>
    <r>
      <rPr>
        <b/>
        <sz val="10"/>
        <color theme="1"/>
        <rFont val="Arial"/>
      </rPr>
      <t>2023_private_qty</t>
    </r>
    <r>
      <rPr>
        <sz val="10"/>
        <color theme="1"/>
        <rFont val="Arial"/>
      </rPr>
      <t>+</t>
    </r>
    <r>
      <rPr>
        <b/>
        <sz val="10"/>
        <color theme="1"/>
        <rFont val="Arial"/>
      </rPr>
      <t>2023_honey_qty</t>
    </r>
    <r>
      <rPr>
        <sz val="10"/>
        <color theme="1"/>
        <rFont val="Arial"/>
      </rPr>
      <t>)
=MISS_SUM(2023_local_qty,2023_fair_qty,2023_consumer_qty,2023_private_qty,2023_honey_qty)</t>
    </r>
  </si>
  <si>
    <t>[2023_honey_name]=1</t>
  </si>
  <si>
    <t>Selling details of Co-Products under Beekeeping during Post-Harvest</t>
  </si>
  <si>
    <t>मौन पालन (मधुमक्खी पालन) के अंतर्गत हार्वेस्ट के बाद के सह उत्पादों की बिक्री का विवरण</t>
  </si>
  <si>
    <t>14.1.</t>
  </si>
  <si>
    <t>beeswax_coproduct21</t>
  </si>
  <si>
    <t>14.1.1,</t>
  </si>
  <si>
    <t>beeswax_coproduct_totalcost21</t>
  </si>
  <si>
    <t>Beeswax - Total Cost of Beekeeping Co-Product (Rs.)</t>
  </si>
  <si>
    <t>बीवैक्स-मधुमक्खी पालन के सह- उत्पाद  की कुल लागत (रु)</t>
  </si>
  <si>
    <t>[beeswax_coproduct21]=1</t>
  </si>
  <si>
    <t>(A) 14.1.1,</t>
  </si>
  <si>
    <t>beeswax_byproduct_outcomes21</t>
  </si>
  <si>
    <t>Beeswax - Total By Product Production</t>
  </si>
  <si>
    <t>बीवैक्स-कुल कच्चा सह- उत्पाद उत्पादन</t>
  </si>
  <si>
    <t>14.1.2.</t>
  </si>
  <si>
    <t>beeswax_personal_use_explanation21</t>
  </si>
  <si>
    <t>If don't sell and use personally then please specify</t>
  </si>
  <si>
    <t xml:space="preserve">यदि बेच नहीं रहे है और व्यक्तिगत रूप से उपयोग करें तो कृपया स्पष्टीकरण दें
</t>
  </si>
  <si>
    <t>14.1.2,</t>
  </si>
  <si>
    <t>beeswax_local_qty21</t>
  </si>
  <si>
    <t>Beeswax - Local Shop - Quantity (%)</t>
  </si>
  <si>
    <t>14.1.3,</t>
  </si>
  <si>
    <t>beeswax_local_price21</t>
  </si>
  <si>
    <t>Beeswax - Local Shop - Price (Rs/Kg)</t>
  </si>
  <si>
    <t>14.1.4,</t>
  </si>
  <si>
    <t>beeswax_local_dist21</t>
  </si>
  <si>
    <t>Beeswax - Local Shop - Distance to Place of Sale (in KM)</t>
  </si>
  <si>
    <t>14.1.5,</t>
  </si>
  <si>
    <t>beeswax_fair_quty21</t>
  </si>
  <si>
    <t>Beeswax - Fair/Exhibition - Quantity (%)</t>
  </si>
  <si>
    <t>14.1.6,</t>
  </si>
  <si>
    <t>beeswax_fair_price21</t>
  </si>
  <si>
    <t>Beeswax - Fair/Exhibition - Price (Rs/Kg)</t>
  </si>
  <si>
    <t>14.1.7,</t>
  </si>
  <si>
    <t>beeswax_fair_dist21</t>
  </si>
  <si>
    <t>Beeswax - Fair/Exhibition - Distance to Place of Sale (in KM)</t>
  </si>
  <si>
    <t>14.1.8,</t>
  </si>
  <si>
    <t>beeswax_consumer_qty21</t>
  </si>
  <si>
    <t>Beeswax - Consumer - Quantity (%)</t>
  </si>
  <si>
    <t>14.1.9,</t>
  </si>
  <si>
    <t>beeswax_consumer_price21</t>
  </si>
  <si>
    <t>Beeswax - Consumer - Price (Rs/Kg)</t>
  </si>
  <si>
    <t>14.1.10.</t>
  </si>
  <si>
    <t>beeswax_consumer_dist21</t>
  </si>
  <si>
    <t>Beeswax - Consumer - Distance to Place of Sale (in KM)</t>
  </si>
  <si>
    <t>14.1.11.</t>
  </si>
  <si>
    <t>beeswax_private_qty21</t>
  </si>
  <si>
    <t>Beeswax - Private Retailer - Quantity (%)</t>
  </si>
  <si>
    <t>14.1.12.</t>
  </si>
  <si>
    <t>beeswax_private_price21</t>
  </si>
  <si>
    <t>Beeswax - Private Retailer - Price (Rs/Kg)</t>
  </si>
  <si>
    <t>14.1.13.</t>
  </si>
  <si>
    <t>beeswax_private_dist21</t>
  </si>
  <si>
    <t>Beeswax - Private Retailer - Distance to Place of Sale (in KM)</t>
  </si>
  <si>
    <t>14.1.14.</t>
  </si>
  <si>
    <t>beeswax_honey_qty21</t>
  </si>
  <si>
    <t>Beeswax - Honey Processing - Unit Quantity (%)</t>
  </si>
  <si>
    <t>14.1.15.</t>
  </si>
  <si>
    <t>beeswax_honey_price21</t>
  </si>
  <si>
    <t>Beeswax - Honey Processing - Unit Price (Rs/Kg)</t>
  </si>
  <si>
    <t>14.1.16.</t>
  </si>
  <si>
    <t>beeswax_honey_dist21</t>
  </si>
  <si>
    <t>Beeswax - Honey Processing - Distance to Place of Sale (in KM)</t>
  </si>
  <si>
    <t>14.1.17.</t>
  </si>
  <si>
    <t>beeswax_honey_unitname21</t>
  </si>
  <si>
    <t>Beeswax - Honey Processing Unit Name</t>
  </si>
  <si>
    <t>1,Dabur|2,Patanjali|3,Reliance Retail Ltd|4,Shri Baidyanath Ayurveda Bhavan Pvt. Ltd|5,EpisIndia|6,Emami Limited|7,Bharat Honey|8,Hit Curry Pharmacy Pvt. Ltd|9,Sri Baidyanath Ayurveda Bhavan Pvt. Ltd|10,Kejriwal Bcare India Pvt.|99,Other (Please Specify)</t>
  </si>
  <si>
    <t>14.1.18.</t>
  </si>
  <si>
    <t>beeswax_honey_unitname21_other</t>
  </si>
  <si>
    <t>Beeswax - Honey Processing Unit Name - Other</t>
  </si>
  <si>
    <t>[beeswax_honey_unitname21]=99</t>
  </si>
  <si>
    <t>14.2.</t>
  </si>
  <si>
    <t>पोलेन</t>
  </si>
  <si>
    <t>pollen_coproduct21</t>
  </si>
  <si>
    <t>14.2.1.</t>
  </si>
  <si>
    <t>pollen_coproduct_totalcost21</t>
  </si>
  <si>
    <t>Pollen - Total Cost of Beekeeping Co-Product (Rs.)</t>
  </si>
  <si>
    <t>पोलेन-मधुमक्खी पालन के सह- उत्पाद  की कुल लागत (रु)</t>
  </si>
  <si>
    <t>[pollen_coproduct21]=1</t>
  </si>
  <si>
    <t>(A) 14.2.1,</t>
  </si>
  <si>
    <t>pollen_byproduct_outcomes21</t>
  </si>
  <si>
    <t>Pollen - Total By Product Outcomes</t>
  </si>
  <si>
    <t>पोलेन-कुल कच्चा सह- उत्पाद उत्पादन</t>
  </si>
  <si>
    <t>14.2.2.</t>
  </si>
  <si>
    <t>pollen_local_qty21</t>
  </si>
  <si>
    <t>Pollen - Local Shop - Quantity (Kg)</t>
  </si>
  <si>
    <t>14.2.3.</t>
  </si>
  <si>
    <t>pollen_local_price21</t>
  </si>
  <si>
    <t>Pollen - Local Shop - Price (Rs/Kg)</t>
  </si>
  <si>
    <t>14.2.4.</t>
  </si>
  <si>
    <t>pollen_local_dist21</t>
  </si>
  <si>
    <t>Pollen - Local Shop - Distance to Place of Sale (in KM)</t>
  </si>
  <si>
    <t>14.2.5.</t>
  </si>
  <si>
    <t>pollen_fair_qty21</t>
  </si>
  <si>
    <t>Pollen - Fair/Exhibition - Quantity (Kg)</t>
  </si>
  <si>
    <t>14.2.6.</t>
  </si>
  <si>
    <t>pollen_fair_price21</t>
  </si>
  <si>
    <t>Pollen - Fair/Exhibition - Price (Rs/Kg)</t>
  </si>
  <si>
    <t>14.2.7.</t>
  </si>
  <si>
    <t>pollen_fair_dist21</t>
  </si>
  <si>
    <t>Pollen - Fair/Exhibition - Distance to Place of Sale (in KM)</t>
  </si>
  <si>
    <t>14.2.8.</t>
  </si>
  <si>
    <t>pollen_consumer_quty21</t>
  </si>
  <si>
    <t>Pollen - Consumer - Quantity (Kg)</t>
  </si>
  <si>
    <t>14.2.9.</t>
  </si>
  <si>
    <t>pollen_consumer_price21</t>
  </si>
  <si>
    <t>Pollen - Consumer - Price (Rs/Kg)</t>
  </si>
  <si>
    <t>14.2.10.</t>
  </si>
  <si>
    <t>pollen_consumer_dist21</t>
  </si>
  <si>
    <t>Pollen - Consumer - Distance to Place of Sale (in KM)</t>
  </si>
  <si>
    <t>14.2.11.</t>
  </si>
  <si>
    <t>pollen_private_quty21</t>
  </si>
  <si>
    <t>Pollen - Private Retailer - Quantity (Kg)</t>
  </si>
  <si>
    <t>14.2.12.</t>
  </si>
  <si>
    <t>pollen_private_price21</t>
  </si>
  <si>
    <t>Pollen - Private Retailer - Price (Rs/Kg)</t>
  </si>
  <si>
    <t>14.2.13.</t>
  </si>
  <si>
    <t>pollen_private_dist21</t>
  </si>
  <si>
    <t>Pollen - Private Retailer - Distance to Place of Sale (in KM)</t>
  </si>
  <si>
    <t>14.2.14.</t>
  </si>
  <si>
    <t>pollen_honey_qty21</t>
  </si>
  <si>
    <t>Pollen - Honey Processing - Unit Quantity (Kg)</t>
  </si>
  <si>
    <t>14.2.15.</t>
  </si>
  <si>
    <t>pollen_honey_price21</t>
  </si>
  <si>
    <t>Pollen - Honey Processing - Unit Price (Rs/Kg)</t>
  </si>
  <si>
    <t>14.2.16.</t>
  </si>
  <si>
    <t>pollen_honey_dista21</t>
  </si>
  <si>
    <t>Pollen - Honey Processing - Distance to Place of Sale (in KM)</t>
  </si>
  <si>
    <t>14.2.17.</t>
  </si>
  <si>
    <t>pollen_honey_unitname21</t>
  </si>
  <si>
    <t>Pollen - Honey Processing Unit Name</t>
  </si>
  <si>
    <t>14.2.18.</t>
  </si>
  <si>
    <t>pollen_honey_unitname21_other</t>
  </si>
  <si>
    <t>Pollen - Honey Processing Unit Name - Other</t>
  </si>
  <si>
    <t>[pollen_honey_unitname21]=99</t>
  </si>
  <si>
    <t>14.3.</t>
  </si>
  <si>
    <t>royal_coproduct21</t>
  </si>
  <si>
    <t>14.3.1.</t>
  </si>
  <si>
    <t>royal_coproduct_totalcost21</t>
  </si>
  <si>
    <t>Royal Jelly - Total Cost of Beekeeping Co-Product (Rs.)</t>
  </si>
  <si>
    <t>रॉयल जेली-मधुमक्खी पालन के सह- उत्पाद  की कुल लागत (रु)</t>
  </si>
  <si>
    <t>[royal_coproduct21]=1</t>
  </si>
  <si>
    <t>(A) 14.3.1,</t>
  </si>
  <si>
    <t>royal_byproduct_outcomes21</t>
  </si>
  <si>
    <t>Royal Jelly - Total By Product Outcomes</t>
  </si>
  <si>
    <t>रॉयल जेली-कुल कच्चा सह- उत्पाद उत्पादन</t>
  </si>
  <si>
    <t>14.3.2.</t>
  </si>
  <si>
    <t>royal_local_qty21</t>
  </si>
  <si>
    <t>Royal Jelly - Local Shop - Quantity (Kg)</t>
  </si>
  <si>
    <t>14.3.3.</t>
  </si>
  <si>
    <t>royal_local_price21</t>
  </si>
  <si>
    <t>Royal Jelly - Local Shop - Price (Rs/Kg)</t>
  </si>
  <si>
    <t>14.3.4.</t>
  </si>
  <si>
    <t>royal_local_dist21</t>
  </si>
  <si>
    <t>Royal Jelly - Local Shop - Distance to Place of Sale (in KM)</t>
  </si>
  <si>
    <t>14.3.5.</t>
  </si>
  <si>
    <t>royal_fair_qty21</t>
  </si>
  <si>
    <t>Royal Jelly - Fair/Exhibition - Quantity (Kg)</t>
  </si>
  <si>
    <t>14.3.6.</t>
  </si>
  <si>
    <t>royal_fair_price21</t>
  </si>
  <si>
    <t>Royal Jelly - Fair/Exhibition - Price (Rs/Kg)</t>
  </si>
  <si>
    <t>14.3.7.</t>
  </si>
  <si>
    <t>royal_fair_dist21</t>
  </si>
  <si>
    <t>Royal Jelly - Fair/Exhibition - Distance to Place of Sale (in KM)</t>
  </si>
  <si>
    <t>14.3.8.</t>
  </si>
  <si>
    <t>royal_consumer_qty21</t>
  </si>
  <si>
    <t>Royal Jelly - Consumer - Quantity (Kg)</t>
  </si>
  <si>
    <t>14.3.9.</t>
  </si>
  <si>
    <t>royal_consumer_price21</t>
  </si>
  <si>
    <t>Royal Jelly - Consumer - Price (Rs/Kg)</t>
  </si>
  <si>
    <t>14.3.10.</t>
  </si>
  <si>
    <t>royal_consumer_dist21</t>
  </si>
  <si>
    <t>Royal Jelly - Consumer - Distance to Place of Sale (in KM)</t>
  </si>
  <si>
    <t>14.3.11.</t>
  </si>
  <si>
    <t>royal_private_qty21</t>
  </si>
  <si>
    <t>Royal Jelly - Private Retailer - Quantity (Kg)</t>
  </si>
  <si>
    <t>14.3.12.</t>
  </si>
  <si>
    <t>royal_private_price21</t>
  </si>
  <si>
    <t>Royal Jelly - Private Retailer - Price (Rs/Kg)</t>
  </si>
  <si>
    <t>14.3.13.</t>
  </si>
  <si>
    <t>royal_private_dist21</t>
  </si>
  <si>
    <t>Royal Jelly - Private Retailer - Distance to Place of Sale (in KM)</t>
  </si>
  <si>
    <t>14.3.14.</t>
  </si>
  <si>
    <t>royal_honey_qty21</t>
  </si>
  <si>
    <t>Royal Jelly - Honey Processing - Unit Quantity (Kg)</t>
  </si>
  <si>
    <t>14.3.15.</t>
  </si>
  <si>
    <t>royal_honey_price21</t>
  </si>
  <si>
    <t>Royal Jelly - Honey Processing - Unit Price (Rs/Kg)</t>
  </si>
  <si>
    <t>14.3.16.</t>
  </si>
  <si>
    <t>royal_honey_dist21</t>
  </si>
  <si>
    <t>Royal Jelly - Honey Processing - Distance to Place of Sale (in KM)</t>
  </si>
  <si>
    <t>14.3.17.</t>
  </si>
  <si>
    <t>royal_honey_unitname21</t>
  </si>
  <si>
    <t>Royal Jelly - Honey Processing Unit Name</t>
  </si>
  <si>
    <t>14.3.18.</t>
  </si>
  <si>
    <t>royal_honey_unitname21_other</t>
  </si>
  <si>
    <t>Royal Jelly - Honey Processing Unit Name - Other</t>
  </si>
  <si>
    <t>[royal_honey_unitname21]=99</t>
  </si>
  <si>
    <t>14.4.</t>
  </si>
  <si>
    <t>propolis_coproduct21</t>
  </si>
  <si>
    <t>14.4.1.</t>
  </si>
  <si>
    <t>propolis_coproduct_totalcost21</t>
  </si>
  <si>
    <t>Propolis - Total Cost of Beekeeping Co-Product (Rs.)</t>
  </si>
  <si>
    <t>प्रोपॉलिस-मधुमक्खी पालन के सह- उत्पाद  की कुल लागत (रु)</t>
  </si>
  <si>
    <t>[propolis_coproduct21]=1</t>
  </si>
  <si>
    <t>(A) 14.4.1,</t>
  </si>
  <si>
    <t>propolis_byproduct_outcomes21</t>
  </si>
  <si>
    <t>Propolis - Total By Product Outcomes</t>
  </si>
  <si>
    <t>प्रोपॉलिस-कुल कच्चा सह- उत्पाद उत्पादन</t>
  </si>
  <si>
    <t>14.4.2.</t>
  </si>
  <si>
    <t>propolis_local_qty21</t>
  </si>
  <si>
    <t>Propolis - Local Shop - Quantity (Kg)</t>
  </si>
  <si>
    <t>14.4.3.</t>
  </si>
  <si>
    <t>pollen_locals_price21</t>
  </si>
  <si>
    <t>Propolis - Local Shop - Price (Rs/Kg)</t>
  </si>
  <si>
    <t>14.4.4.</t>
  </si>
  <si>
    <t>propolis_local_dist21</t>
  </si>
  <si>
    <t>Propolis - Local Shop - Distance to Place of Sale (in KM)</t>
  </si>
  <si>
    <t>14.4.5.</t>
  </si>
  <si>
    <t>propolis_fair_qty21</t>
  </si>
  <si>
    <t>Propolis - Fair/Exhibition - Quantity (Kg)</t>
  </si>
  <si>
    <t>14.4.6.</t>
  </si>
  <si>
    <t>propolis_fair_price21</t>
  </si>
  <si>
    <t>Propolis - Fair/Exhibition - Price (Rs/Kg)</t>
  </si>
  <si>
    <t>14.4.7.</t>
  </si>
  <si>
    <t>propolis_fair_dist21</t>
  </si>
  <si>
    <t>Propolis - Fair/Exhibition - Distance to Place of Sale (in KM)</t>
  </si>
  <si>
    <t>14.4.8.</t>
  </si>
  <si>
    <t>propolis_consumer_qty21</t>
  </si>
  <si>
    <t>Propolis - Consumer - Quantity (Kg)</t>
  </si>
  <si>
    <t>14.4.9.</t>
  </si>
  <si>
    <t>propolis_consumer_price21</t>
  </si>
  <si>
    <t>Propolis - Consumer - Price (Rs/Kg)</t>
  </si>
  <si>
    <t>14.4.10.</t>
  </si>
  <si>
    <t>propolis_consumer_dist21</t>
  </si>
  <si>
    <t>Propolis - Consumer - Distance to Place of Sale (in KM)</t>
  </si>
  <si>
    <t>14.4.11.</t>
  </si>
  <si>
    <t>propolis_private_qty21</t>
  </si>
  <si>
    <t>Propolis - Private Retailer - Quantity (Kg)</t>
  </si>
  <si>
    <t>14.4.12.</t>
  </si>
  <si>
    <t>propolis_private_price21</t>
  </si>
  <si>
    <t>Propolis - Private Retailer - Price (Rs/Kg)</t>
  </si>
  <si>
    <t>14.4.13.</t>
  </si>
  <si>
    <t>propolis_private_dist21</t>
  </si>
  <si>
    <t>Propolis - Private Retailer - Distance to Place of Sale (in KM)</t>
  </si>
  <si>
    <t>14.4.14.</t>
  </si>
  <si>
    <t>propolis_honey_qty21</t>
  </si>
  <si>
    <t>Propolis - Honey Processing - Unit Quantity (Kg)</t>
  </si>
  <si>
    <t>14.4.15.</t>
  </si>
  <si>
    <t>propolis_honey_price21</t>
  </si>
  <si>
    <t>Propolis - Honey Processing - Unit Price (Rs/Kg)</t>
  </si>
  <si>
    <t>14.4.16.</t>
  </si>
  <si>
    <t>propolis_honey_dist21</t>
  </si>
  <si>
    <t>Propolis - Honey Processing - Distance to Place of Sale (in KM)</t>
  </si>
  <si>
    <t>14.4.17.</t>
  </si>
  <si>
    <t>propolis_honey_unitname21</t>
  </si>
  <si>
    <t>Propolis - Honey Processing Unit Name</t>
  </si>
  <si>
    <t>14.4.18.</t>
  </si>
  <si>
    <t>propolis_honey_unitname21_other</t>
  </si>
  <si>
    <t>Propolis - Honey Processing Unit Name - Other</t>
  </si>
  <si>
    <t>[propolis_honey_unitname21]=99</t>
  </si>
  <si>
    <t>14.5.</t>
  </si>
  <si>
    <t>venom_coproduct21</t>
  </si>
  <si>
    <t>14.5.1.</t>
  </si>
  <si>
    <t>venom_coproduct_totalcost21</t>
  </si>
  <si>
    <t>Venom - Total Cost of Beekeeping Co-Product (Rs.)</t>
  </si>
  <si>
    <t>वेनोम-मधुमक्खी पालन के सह- उत्पाद  की कुल लागत (रु)</t>
  </si>
  <si>
    <t>[venom_coproduct21]=1</t>
  </si>
  <si>
    <t>(A) 14.5.1,</t>
  </si>
  <si>
    <t>venom_byproduct_outcomes21</t>
  </si>
  <si>
    <t>Venom - Total By Product Outcomes</t>
  </si>
  <si>
    <t>वेनोम-कुल कच्चा सह- उत्पाद उत्पादन</t>
  </si>
  <si>
    <t>14.5.2.</t>
  </si>
  <si>
    <t>venom_local_qty21</t>
  </si>
  <si>
    <t>Venom - Local Shop - Quantity (Kg)</t>
  </si>
  <si>
    <t>14.5.3.</t>
  </si>
  <si>
    <t>pollen_localsh_price21</t>
  </si>
  <si>
    <t>Venom - Local Shop - Price (Rs/Kg)</t>
  </si>
  <si>
    <t>14.5.4.</t>
  </si>
  <si>
    <t>venom_local_dist21</t>
  </si>
  <si>
    <t>Venom - Local Shop - Distance to Place of Sale (in KM)</t>
  </si>
  <si>
    <t>बिक्री स्थान की दूरी</t>
  </si>
  <si>
    <t>14.5.5.</t>
  </si>
  <si>
    <t>venom_fair_qty21</t>
  </si>
  <si>
    <t>Venom - Fair/Exhibition - Quantity (Kg)</t>
  </si>
  <si>
    <t>14.5.6.</t>
  </si>
  <si>
    <t>venom_fair_price21</t>
  </si>
  <si>
    <t>Venom - Fair/Exhibition - Price (Rs/Kg)</t>
  </si>
  <si>
    <t>14.5.7.</t>
  </si>
  <si>
    <t>venom_fair_dist21</t>
  </si>
  <si>
    <t>Venom - Fair/Exhibition - Distance to Place of Sale (in KM)</t>
  </si>
  <si>
    <t>14.5.8.</t>
  </si>
  <si>
    <t>venom_consumer_qty21</t>
  </si>
  <si>
    <t>Venom - Consumer - Quantity (Kg)</t>
  </si>
  <si>
    <t>14.5.9.</t>
  </si>
  <si>
    <t>venom_consumer_price21</t>
  </si>
  <si>
    <t>Venom - Consumer - Price (Rs/Kg)</t>
  </si>
  <si>
    <t>14.5.10.</t>
  </si>
  <si>
    <t>venom_consumer_dist21</t>
  </si>
  <si>
    <t>Venom - Consumer - Distance to Place of Sale (in KM)</t>
  </si>
  <si>
    <t>14.5.11.</t>
  </si>
  <si>
    <t>venom_private_qty21</t>
  </si>
  <si>
    <t>Venom - Private Retailer - Quantity (Kg)</t>
  </si>
  <si>
    <t>venom_private_price21</t>
  </si>
  <si>
    <t>Venom - Private Retailer - Price (Rs/Kg)</t>
  </si>
  <si>
    <t>14.5.13.</t>
  </si>
  <si>
    <t>venom_private_dist21</t>
  </si>
  <si>
    <t>Venom - Private Retailer - Distance to Place of Sale (in KM)</t>
  </si>
  <si>
    <t>14.5.14.</t>
  </si>
  <si>
    <t>venom_honey_quty21</t>
  </si>
  <si>
    <t>Venom - Honey Processing - Unit Quantity (Kg)</t>
  </si>
  <si>
    <t>14.5.15.</t>
  </si>
  <si>
    <t>venom_honey_price21</t>
  </si>
  <si>
    <t>Venom - Honey Processing - Unit Price (Rs/Kg)</t>
  </si>
  <si>
    <t>[venom_coproduct]=1</t>
  </si>
  <si>
    <t>14.5.16.</t>
  </si>
  <si>
    <t>venom_honey_dist21</t>
  </si>
  <si>
    <t>Venom - Honey Processing - Distance to Place of Sale (in KM)</t>
  </si>
  <si>
    <t>14.5.17.</t>
  </si>
  <si>
    <t>venom_honey_unitname21</t>
  </si>
  <si>
    <t>Venom - Honey Processing Unit Name</t>
  </si>
  <si>
    <t>14.5.18.</t>
  </si>
  <si>
    <t>venom_honey_unitname21_other</t>
  </si>
  <si>
    <t>Venom - Honey Processing Unit Name - Other</t>
  </si>
  <si>
    <t>[venom_honey_unitname21]=1</t>
  </si>
  <si>
    <t>beeswax_coproduct22</t>
  </si>
  <si>
    <t>beeswax_coproduct_totalcost22</t>
  </si>
  <si>
    <t>[beeswax_coproduct22]=1</t>
  </si>
  <si>
    <t>beeswax_byproduct_outcomes22</t>
  </si>
  <si>
    <t>Beeswax - Total By Product Outcomes</t>
  </si>
  <si>
    <t>beeswax_personal_use_explanation22</t>
  </si>
  <si>
    <t xml:space="preserve">यदि बेच नहीं रहे है और व्यक्तिगत रूप से उपयोग करें तो कृपया स्पष्टीकरण दे
</t>
  </si>
  <si>
    <t>beeswax_local_qty22</t>
  </si>
  <si>
    <t>Beeswax - Local Shop - Quantity (Kg)</t>
  </si>
  <si>
    <t>beeswax_local_price22</t>
  </si>
  <si>
    <t>beeswax_local_dist22</t>
  </si>
  <si>
    <t>beeswax_fair_qty22</t>
  </si>
  <si>
    <t>Beeswax - Fair/Exhibition - Quantity (Kg)</t>
  </si>
  <si>
    <t>beeswax_fair_price22</t>
  </si>
  <si>
    <t>beeswax_fair_dist22</t>
  </si>
  <si>
    <t>beeswax_consumer_qty22</t>
  </si>
  <si>
    <t>Beeswax - Consumer - Quantity (Kg)</t>
  </si>
  <si>
    <t>beeswax_consumer_price22</t>
  </si>
  <si>
    <t>beeswax_consumer_dist22</t>
  </si>
  <si>
    <t>beeswax_private_qty22</t>
  </si>
  <si>
    <t>Beeswax - Private Retailer - Quantity (Kg)</t>
  </si>
  <si>
    <t>beeswax_private_price22</t>
  </si>
  <si>
    <t>beeswax_private_dist22</t>
  </si>
  <si>
    <t>beeswax_honey_qty22</t>
  </si>
  <si>
    <t>Beeswax - Honey Processing - Unit Quantity (Kg)</t>
  </si>
  <si>
    <t>beeswax_honey_price22</t>
  </si>
  <si>
    <t>beeswax_honey_dist22</t>
  </si>
  <si>
    <t>beeswax_honey_unitname22</t>
  </si>
  <si>
    <t>beeswax_honey_unitname22_other</t>
  </si>
  <si>
    <t>[beeswax_honey_unitname22]=1</t>
  </si>
  <si>
    <t>pollen_coproduct22</t>
  </si>
  <si>
    <t>pollen_coproduct_totalcost22</t>
  </si>
  <si>
    <t>[pollen_coproduct22]=1</t>
  </si>
  <si>
    <t>pollen_byproduct_outcomes22</t>
  </si>
  <si>
    <t>pollen_local_qty22</t>
  </si>
  <si>
    <t>pollen_local_price22</t>
  </si>
  <si>
    <t>pollen_local_dist22</t>
  </si>
  <si>
    <t>pollen_fair_qty22</t>
  </si>
  <si>
    <t>pollen_fair_price22</t>
  </si>
  <si>
    <t>pollen_fair_dist22</t>
  </si>
  <si>
    <t>pollen_consumer_qty22</t>
  </si>
  <si>
    <t>pollen_consumer_price22</t>
  </si>
  <si>
    <t>pollen_consumer_dist22</t>
  </si>
  <si>
    <t>pollen_private_qty22</t>
  </si>
  <si>
    <t>pollen_private_price22</t>
  </si>
  <si>
    <t>pollen_private_dist22</t>
  </si>
  <si>
    <t>pollen_honey_qty22</t>
  </si>
  <si>
    <t>pollen_honey_price22</t>
  </si>
  <si>
    <t>pollen_honey_dist22</t>
  </si>
  <si>
    <t>pollen_honey_unitname22</t>
  </si>
  <si>
    <t>pollen_honey_unitname22_other</t>
  </si>
  <si>
    <t>[pollen_honey_unitname22]=99</t>
  </si>
  <si>
    <t>royal_coproduct22</t>
  </si>
  <si>
    <t>royal_coproduct_totalcost22</t>
  </si>
  <si>
    <t>[royal_coproduct22]=1</t>
  </si>
  <si>
    <t>royal_byproduct_outcomes22</t>
  </si>
  <si>
    <t>royal_local_qty22</t>
  </si>
  <si>
    <t>royal_local_price22</t>
  </si>
  <si>
    <t>royal_local_dist22</t>
  </si>
  <si>
    <t>royal_fair_qty22</t>
  </si>
  <si>
    <t>royal_fair_price22</t>
  </si>
  <si>
    <t>royal_fair_dist22</t>
  </si>
  <si>
    <t>royal_consumer_qty22</t>
  </si>
  <si>
    <t>royal_consumer_price22</t>
  </si>
  <si>
    <t>royal_consumer_dist22</t>
  </si>
  <si>
    <t>royal_private_qty22</t>
  </si>
  <si>
    <t>royal_private_price22</t>
  </si>
  <si>
    <t>royal_private_dist22</t>
  </si>
  <si>
    <t>royal_honey_qty22</t>
  </si>
  <si>
    <t>royal_honey_price22</t>
  </si>
  <si>
    <t>royal_honey_dist22</t>
  </si>
  <si>
    <t>royal_honey_unitname22</t>
  </si>
  <si>
    <t>royal_honey_unitname22_other</t>
  </si>
  <si>
    <t>[royal_honey_unitname22]=99</t>
  </si>
  <si>
    <t>propolis_coproduct22</t>
  </si>
  <si>
    <t>propolis_coproduct_totalcost22</t>
  </si>
  <si>
    <t>[propolis_coproduct22]=1</t>
  </si>
  <si>
    <t>propolis_byproduct_outcomes22</t>
  </si>
  <si>
    <t>propolis_local_qty22</t>
  </si>
  <si>
    <t>propolis_local_dist22</t>
  </si>
  <si>
    <t>propolis_fair_qty22</t>
  </si>
  <si>
    <t>propolis_fair_price22</t>
  </si>
  <si>
    <t>propolis_fair_dist22</t>
  </si>
  <si>
    <t>propolis_consumer_qty22</t>
  </si>
  <si>
    <t>propolis_consumer_price22</t>
  </si>
  <si>
    <t>propolis_consumer_dist22</t>
  </si>
  <si>
    <t>propolis_private_qty22</t>
  </si>
  <si>
    <t>propolis_private_price22</t>
  </si>
  <si>
    <t>propolis_private_dist22</t>
  </si>
  <si>
    <t>propolis_honey_qty22</t>
  </si>
  <si>
    <t>propolis_honey_price22</t>
  </si>
  <si>
    <t>propolis_honey_dist22</t>
  </si>
  <si>
    <t>propolis_honey_unitname22</t>
  </si>
  <si>
    <t>propolis_honey_unitname22_other</t>
  </si>
  <si>
    <t>Propolis - Honey Processing Unit Name - other</t>
  </si>
  <si>
    <t>[propolis_honey_unitname22]=99</t>
  </si>
  <si>
    <t>venom_coproduct22</t>
  </si>
  <si>
    <t>venom_coproduct_totalcost22</t>
  </si>
  <si>
    <t>[venom_coproduct22]=1</t>
  </si>
  <si>
    <t>venom_byproduct_outcomes22</t>
  </si>
  <si>
    <t>venom_local_qty22</t>
  </si>
  <si>
    <t>pollen_locals_price22</t>
  </si>
  <si>
    <t>venom_local_dist22</t>
  </si>
  <si>
    <t>venom_fair_qty22</t>
  </si>
  <si>
    <t>venom_fair_price22</t>
  </si>
  <si>
    <t>venom_fair_dist22</t>
  </si>
  <si>
    <t>venom_consumer_qty22</t>
  </si>
  <si>
    <t>venom_consumer_price22</t>
  </si>
  <si>
    <t>venom_consumer_dist22</t>
  </si>
  <si>
    <t>venom_private_qty22</t>
  </si>
  <si>
    <t>venom_private_price22</t>
  </si>
  <si>
    <t>venom_private_dist22</t>
  </si>
  <si>
    <t>venom_honey_qty22</t>
  </si>
  <si>
    <t>venom_honey_price22</t>
  </si>
  <si>
    <t>venom_honey_dist22</t>
  </si>
  <si>
    <t>venom_honey_unitname22</t>
  </si>
  <si>
    <t>venom_honey_unitname22_other</t>
  </si>
  <si>
    <t>[venom_honey_unitname22]=99</t>
  </si>
  <si>
    <t>beeswax_coproduct23</t>
  </si>
  <si>
    <t>beeswax_coproduct_totalcost23</t>
  </si>
  <si>
    <t>[beeswax_coproduct23]=1</t>
  </si>
  <si>
    <t>beeswax_byproduct_outcomes23</t>
  </si>
  <si>
    <t>beeswax_personal_use_explanation23</t>
  </si>
  <si>
    <t xml:space="preserve">यदि बेच नहीं रहे है और व्यक्तिगत रूप से उपयोग करें तो कृपया स्पष्टीकरण दें
</t>
  </si>
  <si>
    <t>beeswax_local_qty23</t>
  </si>
  <si>
    <t>beeswax_local_price23</t>
  </si>
  <si>
    <t>beeswax_local_dist23</t>
  </si>
  <si>
    <t>beeswax_fair_qty23</t>
  </si>
  <si>
    <t>beeswax_fair_price23</t>
  </si>
  <si>
    <t>beeswax_fair_dist23</t>
  </si>
  <si>
    <t>beeswax_consumer_qty23</t>
  </si>
  <si>
    <t>beeswax_consumer_price23</t>
  </si>
  <si>
    <t>beeswax_consumer_dist23</t>
  </si>
  <si>
    <t>beeswax_private_qty23</t>
  </si>
  <si>
    <t>beeswax_private_price23</t>
  </si>
  <si>
    <t>beeswax_private_dist23</t>
  </si>
  <si>
    <t>beeswax_honey_qty23</t>
  </si>
  <si>
    <t>beeswax_honey_price23</t>
  </si>
  <si>
    <t>beeswax_honey_dist23</t>
  </si>
  <si>
    <t>beeswax_honey_unitname23</t>
  </si>
  <si>
    <t>beeswax_honey_unitname23_other</t>
  </si>
  <si>
    <t>[beeswax_honey_unitname23]=1</t>
  </si>
  <si>
    <t>pollen_coproduct23</t>
  </si>
  <si>
    <t>pollen_coproduct_totalcost23</t>
  </si>
  <si>
    <t>[pollen_coproduct23]=1</t>
  </si>
  <si>
    <t>pollen_byproduct_outcomes23</t>
  </si>
  <si>
    <t>pollen_local_qty23</t>
  </si>
  <si>
    <t>pollen_local_price23</t>
  </si>
  <si>
    <t>pollen_local_dist23</t>
  </si>
  <si>
    <t>pollen_fair_qty23</t>
  </si>
  <si>
    <t>pollen_fair_price23</t>
  </si>
  <si>
    <t>pollen_fair_dist23</t>
  </si>
  <si>
    <t>pollen_consumer_qty23</t>
  </si>
  <si>
    <t>pollen_consumer_price23</t>
  </si>
  <si>
    <t>pollen_consumer_dist23</t>
  </si>
  <si>
    <t>pollen_private_qty23</t>
  </si>
  <si>
    <t>pollen_private_price23</t>
  </si>
  <si>
    <t>pollen_private_dist23</t>
  </si>
  <si>
    <t>pollen_honey_qty23</t>
  </si>
  <si>
    <t>pollen_honey_price23</t>
  </si>
  <si>
    <t>pollen_honey_dist23</t>
  </si>
  <si>
    <t>pollen_honey_unitname23</t>
  </si>
  <si>
    <t>pollen_honey_unitname23_other</t>
  </si>
  <si>
    <t>[pollen_honey_unitname23]=1</t>
  </si>
  <si>
    <t>royal_coproduct23</t>
  </si>
  <si>
    <t>royal_coproduct_totalcost23</t>
  </si>
  <si>
    <t>[royal_coproduct23]=1</t>
  </si>
  <si>
    <t>royal_byproduct_outcomes23</t>
  </si>
  <si>
    <t>royal_local_qty23</t>
  </si>
  <si>
    <t>royal_local_price23</t>
  </si>
  <si>
    <t>royal_local_dist23</t>
  </si>
  <si>
    <t>royal_fair_qty23</t>
  </si>
  <si>
    <t>royal_fair_price23</t>
  </si>
  <si>
    <t>royal_fair_dist23</t>
  </si>
  <si>
    <t>royal_consumer_qty23</t>
  </si>
  <si>
    <t>royal_consumer_price23</t>
  </si>
  <si>
    <t>royal_consumer_dist23</t>
  </si>
  <si>
    <t>royal_private_qty23</t>
  </si>
  <si>
    <t>royal_private_price23</t>
  </si>
  <si>
    <t>royal_private_dist23</t>
  </si>
  <si>
    <t>royal_honey_qty23</t>
  </si>
  <si>
    <t>royal_honey_price23</t>
  </si>
  <si>
    <t>royal_honey_dist23</t>
  </si>
  <si>
    <t>royal_honey_unitname23</t>
  </si>
  <si>
    <t>royal_honey_unitname23_other</t>
  </si>
  <si>
    <t>[royal_honey_unitname23]=99</t>
  </si>
  <si>
    <t>propolis_coproduct23</t>
  </si>
  <si>
    <t>propolis_coproduct_totalcost23</t>
  </si>
  <si>
    <t>[propolis_coproduct23]=1</t>
  </si>
  <si>
    <t>propolis_byproduct_outcomes23</t>
  </si>
  <si>
    <t>propolis_local_qty23</t>
  </si>
  <si>
    <t>pollen_locals_price23</t>
  </si>
  <si>
    <t>propolis_locals_dist23</t>
  </si>
  <si>
    <t>propolis_fair_qty23</t>
  </si>
  <si>
    <t>propolis_fair_price23</t>
  </si>
  <si>
    <t>propolis_fair_dist23</t>
  </si>
  <si>
    <t>propolis_consumer_qty23</t>
  </si>
  <si>
    <t>propolis_consumer_price23</t>
  </si>
  <si>
    <t>propolis_consumer_dist23</t>
  </si>
  <si>
    <t>propolis_private_qty23</t>
  </si>
  <si>
    <t>propolis_private_price23</t>
  </si>
  <si>
    <t>propolis_private_dist23</t>
  </si>
  <si>
    <t>propolis_honey_qty23</t>
  </si>
  <si>
    <t>propolis_honey_price23</t>
  </si>
  <si>
    <t>propolis_honey_dist23</t>
  </si>
  <si>
    <t>propolis_honey_unitname23</t>
  </si>
  <si>
    <t>propolis_honey_unitname23_other</t>
  </si>
  <si>
    <t>[propolis_honey_unitname23]=1</t>
  </si>
  <si>
    <t>venom_coproduct23</t>
  </si>
  <si>
    <t>venom_coproduct_totalcost23</t>
  </si>
  <si>
    <t>[venom_coproduct23]=1</t>
  </si>
  <si>
    <t>venom_byproduct_outcomes23</t>
  </si>
  <si>
    <t>venom_local_qty23</t>
  </si>
  <si>
    <t>pollen_localsp_price23</t>
  </si>
  <si>
    <t>venom_local_dist23</t>
  </si>
  <si>
    <t>venom_fair_qty23</t>
  </si>
  <si>
    <t>venom_fair_price23</t>
  </si>
  <si>
    <t>venom_fair_dist23</t>
  </si>
  <si>
    <t>venom_consumer_qty23</t>
  </si>
  <si>
    <t>venom_consumer_price23</t>
  </si>
  <si>
    <t>venom_consumer_dist23</t>
  </si>
  <si>
    <t>venom_private_qty23</t>
  </si>
  <si>
    <t>venom_private_price23</t>
  </si>
  <si>
    <t>venom_private_dist23</t>
  </si>
  <si>
    <t>venom_honey_qty23</t>
  </si>
  <si>
    <t>venom_honey_price23</t>
  </si>
  <si>
    <t>venom_honey_dist23</t>
  </si>
  <si>
    <t>venom_honey_unitname23</t>
  </si>
  <si>
    <t>venom_honey_unitname23_other</t>
  </si>
  <si>
    <t>[venom_honey_unitname23]=1</t>
  </si>
  <si>
    <t>Grading of Honey after Harvest under Beekeeping</t>
  </si>
  <si>
    <t>मौन पालन (मधुमक्खी पालन) के अंतर्गत हार्वेस्ट के बाद शहद की ग्रेडिंग</t>
  </si>
  <si>
    <t>is_under_harvest_grading</t>
  </si>
  <si>
    <t xml:space="preserve">Are you doing the grading of Honey after Harvest under Beekeeping?  </t>
  </si>
  <si>
    <t>क्या आपके द्वारा मौन पालन (मधुमक्खी पालन) के अंतर्गत हार्वेस्ट के बाद शहद की किस प्रकार की ग्रेडिंग की जाती है ?</t>
  </si>
  <si>
    <t>15.1.</t>
  </si>
  <si>
    <t>manual_grading</t>
  </si>
  <si>
    <t>Manual Grading</t>
  </si>
  <si>
    <t>मैनुअल ग्रेडिंग</t>
  </si>
  <si>
    <t>[is_under_harvest_grading]=1</t>
  </si>
  <si>
    <t>15.2.</t>
  </si>
  <si>
    <t>machine_grading</t>
  </si>
  <si>
    <t>Machine Grading</t>
  </si>
  <si>
    <t>मशीन ग्रेडिंग</t>
  </si>
  <si>
    <t>15.3.</t>
  </si>
  <si>
    <t>Branding-I</t>
  </si>
  <si>
    <t>ब्रान्डिंग -I</t>
  </si>
  <si>
    <t>branding1</t>
  </si>
  <si>
    <t>15.3.1.</t>
  </si>
  <si>
    <t>branding1_type_of_brand</t>
  </si>
  <si>
    <t>Type of Brand</t>
  </si>
  <si>
    <t>ब्रांड का प्रकार</t>
  </si>
  <si>
    <t>[branding1]=1</t>
  </si>
  <si>
    <t>15.3.1.1.</t>
  </si>
  <si>
    <t>branding1_type_of_brand_other</t>
  </si>
  <si>
    <t>Type of Brand - Other</t>
  </si>
  <si>
    <t>ब्रांड का प्रकार - अन्य</t>
  </si>
  <si>
    <t>[branding1_type_of_brand]=99</t>
  </si>
  <si>
    <t>Varieties</t>
  </si>
  <si>
    <t>किस्में</t>
  </si>
  <si>
    <t>15.3.2.</t>
  </si>
  <si>
    <t>branding1_varieties_kg</t>
  </si>
  <si>
    <t>Type of Grading - Varieties - KG</t>
  </si>
  <si>
    <t>किग्रा</t>
  </si>
  <si>
    <t>branding1_varieties_number</t>
  </si>
  <si>
    <t>Type of Grading - Varieties - Number</t>
  </si>
  <si>
    <t>नंबर</t>
  </si>
  <si>
    <t>15.3.3.</t>
  </si>
  <si>
    <t>branding1_varieties_price</t>
  </si>
  <si>
    <t>Type of Grading - Varieties - Price / Unit</t>
  </si>
  <si>
    <t>मूल्य प्रति इकाई</t>
  </si>
  <si>
    <t>15.3.3.1.</t>
  </si>
  <si>
    <t>branding1_varieties_total_sell</t>
  </si>
  <si>
    <t>Total Sell of Branding 1 Variety (Kg)</t>
  </si>
  <si>
    <t>ब्रांडिंग 1 किस्म की कुल बिक्री (किलो)</t>
  </si>
  <si>
    <t>Calculated Field
MISS_MULTIPLY(branding1_varieties_kg,branding1_varieties_number)</t>
  </si>
  <si>
    <t>15.3.3.2.</t>
  </si>
  <si>
    <t>branding1_varieties_total_revenue</t>
  </si>
  <si>
    <t>Total Revenue of Branding 1 Variety (Rs)</t>
  </si>
  <si>
    <t>ब्रांडिंग 1 वैराइटी का कुल राजस्व</t>
  </si>
  <si>
    <t>Calculated Field
MISS_MULTIPLY(branding1_varieties_number,branding1_varieties_price)</t>
  </si>
  <si>
    <t>15.3.3.3.</t>
  </si>
  <si>
    <t>branding1_varieties_average_price</t>
  </si>
  <si>
    <t>Average Price of Brand 1 Variety (Rs/Kg)</t>
  </si>
  <si>
    <t>ब्रांड 1 किस्म की औसत कीमत (रुपये/किग्रा)</t>
  </si>
  <si>
    <t>Calculated Field
MISS_DIVIDE(branding1_varieties_total_revenue,branding1_varieties_total_sell)</t>
  </si>
  <si>
    <t>Weight</t>
  </si>
  <si>
    <t>वज़न</t>
  </si>
  <si>
    <t>15.3.4.</t>
  </si>
  <si>
    <t>branding1_weight250_confirm</t>
  </si>
  <si>
    <t>Type of Grading - Weight 250 Grams</t>
  </si>
  <si>
    <t>250 ग्राम वजन</t>
  </si>
  <si>
    <t>15.3.4.1.</t>
  </si>
  <si>
    <t>branding1_weight250_number</t>
  </si>
  <si>
    <t>Type of Grading - Weight 250 Grams - Number</t>
  </si>
  <si>
    <t>250 ग्राम वजन की संख्या</t>
  </si>
  <si>
    <t>[branding1_weight250_confirm]=1</t>
  </si>
  <si>
    <t>15.3.4.2.</t>
  </si>
  <si>
    <t>branding1_weight250_price</t>
  </si>
  <si>
    <t>Type of Grading - Weight 250 Grams - Price / Unit</t>
  </si>
  <si>
    <t>250 ग्राम वजन का मूल्य प्रति इकाई</t>
  </si>
  <si>
    <t>15.3.5.</t>
  </si>
  <si>
    <t>branding1_weight500_confirm</t>
  </si>
  <si>
    <t>Type of Grading - Weight 500 Grams</t>
  </si>
  <si>
    <t>500 ग्राम वजन</t>
  </si>
  <si>
    <t>15.3.5.1.</t>
  </si>
  <si>
    <t>branding1_weight500_number</t>
  </si>
  <si>
    <t>Type of Grading - Weight 500 Grams - Number</t>
  </si>
  <si>
    <t>500 ग्राम वजन की संख्या</t>
  </si>
  <si>
    <t>[branding1_weight500_confirm]=1</t>
  </si>
  <si>
    <t>15.3.5.2.</t>
  </si>
  <si>
    <t>branding1_weight500_price</t>
  </si>
  <si>
    <t>Type of Grading - Weight 500 Grams - Price / Unit</t>
  </si>
  <si>
    <t>500 ग्राम वजन का मूल्य प्रति इकाई</t>
  </si>
  <si>
    <t>15.3.6.</t>
  </si>
  <si>
    <t>branding1_weight1000_confirm</t>
  </si>
  <si>
    <t>Type of Grading - Weight 1 Kg</t>
  </si>
  <si>
    <t>1 किलो ग्राम वजन</t>
  </si>
  <si>
    <t>15.3.6.1.</t>
  </si>
  <si>
    <t>branding1_weight1000_number</t>
  </si>
  <si>
    <t>Type of Grading - Weight 1 Kg - Number</t>
  </si>
  <si>
    <t>1 किलो ग्राम वजन की संख्या</t>
  </si>
  <si>
    <t>[branding1_weight1000_confirm]=1</t>
  </si>
  <si>
    <t>15.3.6.2.</t>
  </si>
  <si>
    <t>branding1_weight1000_price</t>
  </si>
  <si>
    <t>Type of Grading - Weight 1 Kg - Price / Unit</t>
  </si>
  <si>
    <t>1 किलो ग्राम वजन का मूल्य प्रति इकाई</t>
  </si>
  <si>
    <t>Color</t>
  </si>
  <si>
    <t>कलर</t>
  </si>
  <si>
    <t>15.3.7.</t>
  </si>
  <si>
    <t>branding1_colyellow_number</t>
  </si>
  <si>
    <t>Type of Grading - Color(Yellow) - Number</t>
  </si>
  <si>
    <t>यैलो कलर - संख्या</t>
  </si>
  <si>
    <t>15.3.8.</t>
  </si>
  <si>
    <t>branding1_colyellow_price</t>
  </si>
  <si>
    <t>Type of Grading - Color(Yellow) - Price</t>
  </si>
  <si>
    <t>यैलो कलर - मूल्य</t>
  </si>
  <si>
    <t>15.3.9.</t>
  </si>
  <si>
    <t>branding1_colrbrown_number</t>
  </si>
  <si>
    <t>Type of Grading - Color(Reddish Brown) - Number</t>
  </si>
  <si>
    <t>लालिमायुक्त भूरा - संख्या</t>
  </si>
  <si>
    <t>15.3.10.</t>
  </si>
  <si>
    <t>branding1_colrbrown_price</t>
  </si>
  <si>
    <t>Type of Grading - Color(Reddish Brown) - Price</t>
  </si>
  <si>
    <t>लालिमायुक्त भूरा - मूल्य</t>
  </si>
  <si>
    <t>15.3.11.</t>
  </si>
  <si>
    <t>branding1_coldbrown_number</t>
  </si>
  <si>
    <t>Type of Grading - Color(Dark Brown) - Number</t>
  </si>
  <si>
    <t>गहरा भूरा रंग - संख्या</t>
  </si>
  <si>
    <t>15.3.12.</t>
  </si>
  <si>
    <t>branding1_coldbrown_price</t>
  </si>
  <si>
    <t>Type of Grading - Color(Dard Brown) - Price</t>
  </si>
  <si>
    <t>गहरा भूरा रंग - मूल्य</t>
  </si>
  <si>
    <t>15.4.</t>
  </si>
  <si>
    <t>Branding-II</t>
  </si>
  <si>
    <t>ब्रान्डिंग -II</t>
  </si>
  <si>
    <t>branding2</t>
  </si>
  <si>
    <t>15.4.1.</t>
  </si>
  <si>
    <t>branding2_type_of_brand</t>
  </si>
  <si>
    <t>[branding2]=1</t>
  </si>
  <si>
    <t>15.4.1.1.</t>
  </si>
  <si>
    <t>branding2_type_of_brand_other</t>
  </si>
  <si>
    <t>[branding2_type_of_brand]=99</t>
  </si>
  <si>
    <t>15.4.2.</t>
  </si>
  <si>
    <t>branding2_varieties_kg</t>
  </si>
  <si>
    <t>branding2_varieties_number</t>
  </si>
  <si>
    <t>15.4.3.</t>
  </si>
  <si>
    <t>branding2_varieties_price</t>
  </si>
  <si>
    <t>15.4.3.1.</t>
  </si>
  <si>
    <t>branding2_varieties_total_sell</t>
  </si>
  <si>
    <t>Total Sell of Branding 2 Variety (Kg)</t>
  </si>
  <si>
    <t>ब्रांडिंग 2 किस्म की कुल बिक्री (किलो)</t>
  </si>
  <si>
    <t>Calculated Field
MISS_MULTIPLY(branding2_varieties_kg,branding2_varieties_number)</t>
  </si>
  <si>
    <t>15.4.3.2.</t>
  </si>
  <si>
    <t>branding2_varieties_total_revenue</t>
  </si>
  <si>
    <t>Total Revenue of Branding 2 Variety (Rs)</t>
  </si>
  <si>
    <t>ब्रांडिंग 2 वैराइटी का कुल राजस्व</t>
  </si>
  <si>
    <t>Calculated Field
MISS_MULTIPLY(branding2_varieties_number,branding2_varieties_price)</t>
  </si>
  <si>
    <t>15.4.3.3.</t>
  </si>
  <si>
    <t>branding2_varieties_average_price</t>
  </si>
  <si>
    <t>Average Price of Brand 2 Variety (Rs/Kg)</t>
  </si>
  <si>
    <t>ब्रांड 2 किस्म की औसत कीमत (रुपये/किग्रा)</t>
  </si>
  <si>
    <t>Calculated Field
MISS_DIVIDE(branding2_varieties_total_revenue,branding2_varieties_total_sell)</t>
  </si>
  <si>
    <t xml:space="preserve">Weight </t>
  </si>
  <si>
    <t>15.4.4.</t>
  </si>
  <si>
    <t>branding2_weight250_confirm</t>
  </si>
  <si>
    <t>15.4.4.1.</t>
  </si>
  <si>
    <t>branding2_weight250_number</t>
  </si>
  <si>
    <t>[branding2_weight250_confirm]=1</t>
  </si>
  <si>
    <t>15.4.4.2.</t>
  </si>
  <si>
    <t>branding2_weight250_price</t>
  </si>
  <si>
    <t>15.4.5.</t>
  </si>
  <si>
    <t>branding2_weight500_confirm</t>
  </si>
  <si>
    <t>15.4.5.1.</t>
  </si>
  <si>
    <t>branding2_weight500_number</t>
  </si>
  <si>
    <t>[branding2_weight500_confirm]=1</t>
  </si>
  <si>
    <t>15.4.5.2.</t>
  </si>
  <si>
    <t>branding2_weight500_price</t>
  </si>
  <si>
    <t>15.4.6.</t>
  </si>
  <si>
    <t>branding2_weight1000_confirm</t>
  </si>
  <si>
    <t>15.4.6.1.</t>
  </si>
  <si>
    <t>branding2_weight1000_number</t>
  </si>
  <si>
    <t>[branding2_weight1000_confirm]=1</t>
  </si>
  <si>
    <t>15.4.6.2.</t>
  </si>
  <si>
    <t>branding2_weight1000_price</t>
  </si>
  <si>
    <t>15.4.7.</t>
  </si>
  <si>
    <t>branding2_colyellow_number</t>
  </si>
  <si>
    <t>15.4.8.</t>
  </si>
  <si>
    <t>branding2_colyellow_price</t>
  </si>
  <si>
    <t>15.4.9.</t>
  </si>
  <si>
    <t>branding2_colrbrown_number</t>
  </si>
  <si>
    <t>15.4.10.</t>
  </si>
  <si>
    <t>branding2_colrbrown_price</t>
  </si>
  <si>
    <t>15.4.11.</t>
  </si>
  <si>
    <t>branding2_coldbrown_number</t>
  </si>
  <si>
    <t>15.4.12.</t>
  </si>
  <si>
    <t>branding2_coldbrown_price</t>
  </si>
  <si>
    <t>15.5.</t>
  </si>
  <si>
    <t>Branding-III</t>
  </si>
  <si>
    <t>ब्रान्डिंग -III</t>
  </si>
  <si>
    <t>branding3</t>
  </si>
  <si>
    <t>15.5.1.</t>
  </si>
  <si>
    <t>branding3_type_of_brand</t>
  </si>
  <si>
    <t>[branding3]=1</t>
  </si>
  <si>
    <t>15.5.1.1.</t>
  </si>
  <si>
    <t>branding3_type_of_brand_other</t>
  </si>
  <si>
    <t>[branding3_type_of_brand]=99</t>
  </si>
  <si>
    <t>15.5.2.</t>
  </si>
  <si>
    <t>branding3_varieties_kg</t>
  </si>
  <si>
    <t>branding3_varieties_number</t>
  </si>
  <si>
    <t>15.5.3.</t>
  </si>
  <si>
    <t>branding3_varieties_price</t>
  </si>
  <si>
    <t>15.5.3.1.</t>
  </si>
  <si>
    <t>branding3_varieties_total_sell</t>
  </si>
  <si>
    <t>Total Sell of Branding 3 Variety (Kg)</t>
  </si>
  <si>
    <t>ब्रांडिंग 3 किस्म की कुल बिक्री (किलो)</t>
  </si>
  <si>
    <t>Calculated Field
MISS_MULTIPLY(branding3_varieties_kg,branding3_varieties_number)</t>
  </si>
  <si>
    <t>15.5.3.2.</t>
  </si>
  <si>
    <t>branding3_varieties_total_revenue</t>
  </si>
  <si>
    <t>Total Revenue of Branding 3 Variety (Rs)</t>
  </si>
  <si>
    <t>ब्रांडिंग 3 वैराइटी का कुल राजस्व</t>
  </si>
  <si>
    <t>Calculated Field
MISS_MULTIPLY(branding3_varieties_number,branding3_varieties_price)</t>
  </si>
  <si>
    <t>15.5.3.3.</t>
  </si>
  <si>
    <t>branding3_varieties_average_price</t>
  </si>
  <si>
    <t>Average Price of Brand 3 Variety (Rs/Kg)</t>
  </si>
  <si>
    <t>ब्रांड 3 किस्म की औसत कीमत (रुपये/किग्रा)</t>
  </si>
  <si>
    <t>Calculated Field
MISS_DIVIDE(branding3_varieties_total_revenue,branding3_varieties_total_sell)</t>
  </si>
  <si>
    <t>15.5.4.</t>
  </si>
  <si>
    <t>branding3_weight250_confirm</t>
  </si>
  <si>
    <t>15.5.4.1.</t>
  </si>
  <si>
    <t>branding3_weight250_number</t>
  </si>
  <si>
    <t>[branding3_weight250_confirm]=1</t>
  </si>
  <si>
    <t>15.5.4.2.</t>
  </si>
  <si>
    <t>branding3_weight250_price</t>
  </si>
  <si>
    <t>15.5.5.</t>
  </si>
  <si>
    <t>branding3_weight500_confirm</t>
  </si>
  <si>
    <t>15.5.5.1.</t>
  </si>
  <si>
    <t>branding3_weight500_number</t>
  </si>
  <si>
    <t>[branding3_weight500_confirm]=1</t>
  </si>
  <si>
    <t>15.5.5.2.</t>
  </si>
  <si>
    <t>branding3_weight500_price</t>
  </si>
  <si>
    <t>15.5.6.</t>
  </si>
  <si>
    <t>branding3_weight1000_confirm</t>
  </si>
  <si>
    <t>15.5.6.1.</t>
  </si>
  <si>
    <t>branding3_weight1000_number</t>
  </si>
  <si>
    <t>[branding3_weight1000_confirm]=1</t>
  </si>
  <si>
    <t>15.5.6.2.</t>
  </si>
  <si>
    <t>branding3_weight1000_price</t>
  </si>
  <si>
    <t>15.5.7.</t>
  </si>
  <si>
    <t>branding3_colyellow_number</t>
  </si>
  <si>
    <t>15.5.8.</t>
  </si>
  <si>
    <t>branding3_colyellow_price</t>
  </si>
  <si>
    <t>15.5.9.</t>
  </si>
  <si>
    <t>branding3_colrbrown_number</t>
  </si>
  <si>
    <t>15.5.10.</t>
  </si>
  <si>
    <t>branding3_colrbrown_price</t>
  </si>
  <si>
    <t>15.5.11.</t>
  </si>
  <si>
    <t>branding3_coldbrown_number</t>
  </si>
  <si>
    <t>15.5.12.</t>
  </si>
  <si>
    <t>branding3_coldbrown_price</t>
  </si>
  <si>
    <t>Training in Beekeeping</t>
  </si>
  <si>
    <t>मौन पालन (मधुमक्खी पालन) के अंतर्गत ट्रेनिंग</t>
  </si>
  <si>
    <t>is_taken_training</t>
  </si>
  <si>
    <t>Have you taken any kind of Training in Beekeeping?</t>
  </si>
  <si>
    <t>क्या आपके द्वारा मौन पालन (मधुमक्खी पालन) के अंतर्गत किसी प्रकार की ट्रेनिंग या प्रशिक्षण लिया है</t>
  </si>
  <si>
    <t>16.1.</t>
  </si>
  <si>
    <t>Training or Workshop - Activities related to Before Beekeeping</t>
  </si>
  <si>
    <t>मधुमक्खी पालन से पूर्व गतिविधि संबंधी ट्रेनिंग या प्रशिक्षण</t>
  </si>
  <si>
    <t>activities_related_beekeeping</t>
  </si>
  <si>
    <t>Training or Workshop  - Activities related to Before Beekeeping</t>
  </si>
  <si>
    <t>16.1.1.</t>
  </si>
  <si>
    <t>pre_beekeeping_traning_name</t>
  </si>
  <si>
    <t>Name of Training</t>
  </si>
  <si>
    <t>प्रशिक्षण का नाम</t>
  </si>
  <si>
    <t>[activities_related_beekeeping]=1</t>
  </si>
  <si>
    <t>1,Best Production Practices of Beekeeping related (मधुमक्खी पालन की सर्वोत्तम उत्पादन पद्धतियाँ संबंधित)|2,Best Production Practices of Co-Products related (सह-उत्पाद की सर्वोत्तम उत्पादन पद्धतियाँ संबंधित)|3,Effective Management of Apiary related (मधुमक्खी पालन गृह का प्रभावी प्रबंधन संबंधित)|4,Effective control of Bees Pests and Diseases related (मधुमक्खियों/कीटों और बीमारियों पर प्रभावी नियंत्रण संबंधित)|5,Effective Marketing and Branding/Grading/Packaging of Honey related (शहद की प्रभावी विपणन और ब्रांडिंग/ ग्रेडिंग/ पैकेजिंग संबंधित)|99,Others (अन्य-क्रपया स्पष्ट करें)</t>
  </si>
  <si>
    <t>1,मधुमक्खी पालन की सर्वोत्तम उत्पादन पद्धतियाँ संबंधित|2,सह-उत्पाद की सर्वोत्तम उत्पादन पद्धतियाँ संबंधित|3,मधुमक्खी पालन गृह का प्रभावी प्रबंधन संबंधित|4,मधुमक्खियों कीटों और बीमारियों पर प्रभावी नियंत्रण संबंधित|5,शहद की प्रभावी विपणन और ब्रांडिंग/ग्रेडिंग/पैकेजिंग संबंधित|6,अन्य</t>
  </si>
  <si>
    <t>16.1.1.1.</t>
  </si>
  <si>
    <t>pre_beekeeping_other_traning_name</t>
  </si>
  <si>
    <t>Other Training Name</t>
  </si>
  <si>
    <t>अन्य प्रशिक्षण का नाम</t>
  </si>
  <si>
    <t>[pre_beekeeping_traning_name]=99</t>
  </si>
  <si>
    <t>16.1.2.</t>
  </si>
  <si>
    <t>pre_beekeeping_traning_provider</t>
  </si>
  <si>
    <t>Name of Training Provider</t>
  </si>
  <si>
    <t>प्रशिक्षण प्रदाता का नाम</t>
  </si>
  <si>
    <t>16.1.3.</t>
  </si>
  <si>
    <t>pre_beekeeping_traning_year</t>
  </si>
  <si>
    <t>किस वर्ष में</t>
  </si>
  <si>
    <t>16.1.4.</t>
  </si>
  <si>
    <t>pre_beekeeping_traning_days</t>
  </si>
  <si>
    <t>Days</t>
  </si>
  <si>
    <t>कितने दिनो की</t>
  </si>
  <si>
    <t>16.1.5.</t>
  </si>
  <si>
    <t>pre_beekeeping_traning_type</t>
  </si>
  <si>
    <t>Type of Training</t>
  </si>
  <si>
    <t>ट्रेनिंग का प्रकार</t>
  </si>
  <si>
    <t>1,Formal (औपचारिक)|2,Informal (अनौपचारिक)</t>
  </si>
  <si>
    <t>16.2.</t>
  </si>
  <si>
    <t>Training or Workshop - During Beekeeping Activities</t>
  </si>
  <si>
    <t>मधुमक्खी पालन गतिविधि के दौरान ट्रेनिंग या प्रशिक्षण</t>
  </si>
  <si>
    <t>during_beekeeping_activities</t>
  </si>
  <si>
    <t>16.2.1.</t>
  </si>
  <si>
    <t>during_beekeeping_traning_name</t>
  </si>
  <si>
    <t>[during_beekeeping_activities]=1</t>
  </si>
  <si>
    <t>16.2.1.1.</t>
  </si>
  <si>
    <t>during_beekeeping_other_traning_name</t>
  </si>
  <si>
    <t>[during_beekeeping_traning_name]=99</t>
  </si>
  <si>
    <t>16.2.2.</t>
  </si>
  <si>
    <t>during_beekeeping_traning_provider</t>
  </si>
  <si>
    <t>16.2.3.</t>
  </si>
  <si>
    <t>during_beekeeping_traning_year</t>
  </si>
  <si>
    <t>16.2.4.</t>
  </si>
  <si>
    <t>during_beekeeping_traning_days</t>
  </si>
  <si>
    <t>16.2.5.</t>
  </si>
  <si>
    <t>during_beekeeping_traning_type</t>
  </si>
  <si>
    <t>16.3.</t>
  </si>
  <si>
    <t>Training or Workshop - Post-Harvest Activities</t>
  </si>
  <si>
    <t>हार्वेस्ट के बाद गतिविधि के संबंधी ट्रेनिंग या प्रशिक्षण</t>
  </si>
  <si>
    <t>post_harvest_activities</t>
  </si>
  <si>
    <t>Training or Workshop  - Post-Harvest Activities</t>
  </si>
  <si>
    <t>16.3.1.</t>
  </si>
  <si>
    <t>post_harvest_traning_name</t>
  </si>
  <si>
    <t>[post_harvest_activities]=1</t>
  </si>
  <si>
    <t>16.3.1.1.</t>
  </si>
  <si>
    <t>post_harvest_other_traning_name</t>
  </si>
  <si>
    <t>[post_harvest_traning_name]=99</t>
  </si>
  <si>
    <t>16.3.2.</t>
  </si>
  <si>
    <t>post_harvest_traning_provider</t>
  </si>
  <si>
    <t>16.3.3.</t>
  </si>
  <si>
    <t>post_harvest_traning_year</t>
  </si>
  <si>
    <t>16.3.4.</t>
  </si>
  <si>
    <t>post_harvest_traning_days</t>
  </si>
  <si>
    <t>16.3.5.</t>
  </si>
  <si>
    <t>post_harvest_traning_type</t>
  </si>
  <si>
    <t>16.4.</t>
  </si>
  <si>
    <t>Training or Workshop - Other Activities</t>
  </si>
  <si>
    <t>अन्य गतिविधियां</t>
  </si>
  <si>
    <t>other_activities</t>
  </si>
  <si>
    <t>Training or Workshop  - Other Activities</t>
  </si>
  <si>
    <t>16.4.1.</t>
  </si>
  <si>
    <t>other_traning_name</t>
  </si>
  <si>
    <t>[other_activities]=1</t>
  </si>
  <si>
    <t>16.4.1.1.</t>
  </si>
  <si>
    <t>other_traning_name_other</t>
  </si>
  <si>
    <t>[other_traning_name]=99</t>
  </si>
  <si>
    <t>16.4.2.</t>
  </si>
  <si>
    <t>other_traning_provider</t>
  </si>
  <si>
    <t>16.4.3.</t>
  </si>
  <si>
    <t>other_traning_year</t>
  </si>
  <si>
    <t>16.4.4.</t>
  </si>
  <si>
    <t>other_traning_days</t>
  </si>
  <si>
    <t>16.4.5.</t>
  </si>
  <si>
    <t>other_traning_type</t>
  </si>
  <si>
    <t>Are you operating any kind of Honey Processing Unit related with Beekeeping.</t>
  </si>
  <si>
    <t xml:space="preserve">क्या आपके द्वारा मौन पालन (मधुमक्खी पालन) के संबंध में किसी प्रकार की कोई शहद प्रोसेसिंग इकाई का संचालन किया जा रहा है? </t>
  </si>
  <si>
    <t>is_self_oprate_processing_unit</t>
  </si>
  <si>
    <t>Are you operating any kind of Honey Processing Unit related with Beekeeping?</t>
  </si>
  <si>
    <t>17.1.</t>
  </si>
  <si>
    <t>self_oprate_processing_unit_name</t>
  </si>
  <si>
    <t>Name of Unit</t>
  </si>
  <si>
    <t>इकाई का नाम</t>
  </si>
  <si>
    <t>17.2.</t>
  </si>
  <si>
    <t>unit_establishment_year</t>
  </si>
  <si>
    <t>Time of Establishment (in which year)</t>
  </si>
  <si>
    <t>स्थापना का समय  (किस वर्ष में)</t>
  </si>
  <si>
    <t>17.3.</t>
  </si>
  <si>
    <t>related_type_honey</t>
  </si>
  <si>
    <t>Varieties Of Honey</t>
  </si>
  <si>
    <t>किस किस्म के  शहद से संबंध है</t>
  </si>
  <si>
    <t>[honey_processing_unit1]=1</t>
  </si>
  <si>
    <t>17.3.1.</t>
  </si>
  <si>
    <t>related_type_honey_other</t>
  </si>
  <si>
    <t>Varieties Of Honey - Other</t>
  </si>
  <si>
    <t>किस किस्म के  शहद से संबंध है-अन्य</t>
  </si>
  <si>
    <t>17.4.</t>
  </si>
  <si>
    <t>honey_quantity</t>
  </si>
  <si>
    <t>Processing Capacity Quantity (Kg)</t>
  </si>
  <si>
    <t>प्रोसेसिंग क्षमता मात्रा (Kg में)</t>
  </si>
  <si>
    <t>17.5.</t>
  </si>
  <si>
    <t>processed_honey_quantity</t>
  </si>
  <si>
    <t>Processed Quantity (Kg)</t>
  </si>
  <si>
    <t>प्रोसेसिंग मात्रा (Kg में)</t>
  </si>
  <si>
    <t>17.6.</t>
  </si>
  <si>
    <t>production_price</t>
  </si>
  <si>
    <t>Processing Cost (Rs/Kg)</t>
  </si>
  <si>
    <t>प्रोसेसिंग कॉस्ट प्रति किग्रा</t>
  </si>
  <si>
    <t>17.1.4.</t>
  </si>
  <si>
    <t>Selling Place of Production</t>
  </si>
  <si>
    <t>उत्पाद की बिक्री का स्थान</t>
  </si>
  <si>
    <t>17.1.4.1.</t>
  </si>
  <si>
    <t>village_market</t>
  </si>
  <si>
    <t>Village Level (Haat/Market)</t>
  </si>
  <si>
    <t>ग्रामीण स्तर पर (हाट/बाजार)</t>
  </si>
  <si>
    <t>17.1.4.1.1.</t>
  </si>
  <si>
    <t>village_market_quantity</t>
  </si>
  <si>
    <t>Village Level (Haat/Market) - Quantity(Kg)</t>
  </si>
  <si>
    <t>मात्रा</t>
  </si>
  <si>
    <t>[village_market]=1</t>
  </si>
  <si>
    <t>17.1.4.1.2.</t>
  </si>
  <si>
    <t>village_market_price</t>
  </si>
  <si>
    <t>Village Level (Haat/Market) - Price (Rs/Kg)</t>
  </si>
  <si>
    <t>मूल्य प्रति किग्रा</t>
  </si>
  <si>
    <t>17.1.4.2.</t>
  </si>
  <si>
    <t>govt_market</t>
  </si>
  <si>
    <t>Government Market</t>
  </si>
  <si>
    <t>सरकारी मण्डी</t>
  </si>
  <si>
    <t>17.1.4.2.1.</t>
  </si>
  <si>
    <t>govt_market_quantity</t>
  </si>
  <si>
    <t>Government Market - Quantity(Kg)</t>
  </si>
  <si>
    <t>[govt_market]=1</t>
  </si>
  <si>
    <t>17.1.4.2.2.</t>
  </si>
  <si>
    <t>govt_market_price</t>
  </si>
  <si>
    <t>Government Market - Price (Rs/Kg)</t>
  </si>
  <si>
    <t>17.1.4.3.</t>
  </si>
  <si>
    <t>enam_portal</t>
  </si>
  <si>
    <t>On National Agriculture Market (eNAM) Portal</t>
  </si>
  <si>
    <t>राष्ट्रीय कृषि बाज़ार (eNAM) पोर्टल पर</t>
  </si>
  <si>
    <t>17.1.4.3.1.</t>
  </si>
  <si>
    <t>enam_portal_quantity</t>
  </si>
  <si>
    <t>On National Agriculture Market (ENAM) Portal - Quantity(Kg)</t>
  </si>
  <si>
    <t>[enam_portal]=1</t>
  </si>
  <si>
    <t>17.1.4.3.2.</t>
  </si>
  <si>
    <t>enam_portal_price</t>
  </si>
  <si>
    <t>On National Agriculture Market (ENAM) Portal - Price (Rs/Kg)</t>
  </si>
  <si>
    <t>17.1.4.4.</t>
  </si>
  <si>
    <t>local_agent</t>
  </si>
  <si>
    <t>Local Agent</t>
  </si>
  <si>
    <t>लोकल एजेंट</t>
  </si>
  <si>
    <t>17.1.4.4.1.</t>
  </si>
  <si>
    <t>local_agent_quantity</t>
  </si>
  <si>
    <t>Local Agent - Quantity(Kg)</t>
  </si>
  <si>
    <t>[local_agent]=1</t>
  </si>
  <si>
    <t>17.1.4.4.2.</t>
  </si>
  <si>
    <t>local_agent_price</t>
  </si>
  <si>
    <t>Local Agent - Price (Rs/Kg)</t>
  </si>
  <si>
    <t>17.1.4.5.</t>
  </si>
  <si>
    <t>private_company</t>
  </si>
  <si>
    <t>Private Company</t>
  </si>
  <si>
    <t>प्राइवेट कंपनी</t>
  </si>
  <si>
    <t>17.1.4.5.1.</t>
  </si>
  <si>
    <t>private_company_listing</t>
  </si>
  <si>
    <t>[private_company]=1</t>
  </si>
  <si>
    <t>17.1.4.5.1.1.</t>
  </si>
  <si>
    <t>private_company_listing_other</t>
  </si>
  <si>
    <t>Private Company - Other</t>
  </si>
  <si>
    <t>प्राइवेट कंपनी - अन्य</t>
  </si>
  <si>
    <t>[private_company_listing]=99</t>
  </si>
  <si>
    <t>17.1.4.5.2.</t>
  </si>
  <si>
    <t>private_company_quantity</t>
  </si>
  <si>
    <t>Private Company - Quantity(Kg)</t>
  </si>
  <si>
    <t>17.1.4.5.3.</t>
  </si>
  <si>
    <t>private_company_price</t>
  </si>
  <si>
    <t>Private Company - Price (Rs/Kg)</t>
  </si>
  <si>
    <t>Details of Total Costs incurred during Processing of Honey</t>
  </si>
  <si>
    <t>शहद की प्रोसेसिंग के दौरान कुल लागतों का विवरण</t>
  </si>
  <si>
    <t>Details of Inputs</t>
  </si>
  <si>
    <t>18.1.1</t>
  </si>
  <si>
    <t>total_cost</t>
  </si>
  <si>
    <t>Total Cost (Rs.)</t>
  </si>
  <si>
    <t>कुल लागत</t>
  </si>
  <si>
    <t>1,Less Than 5 Lacs (5 लाख से कम)|2,5-10 Lacs (5 से 10 लाख के बीच)|3,10-20 Lacs (10 से 20 लाख के बीच)|4,More Than 20 Lacs (20 लाख से ज्यादा)</t>
  </si>
  <si>
    <t>Exporting your Beekeeping Produce</t>
  </si>
  <si>
    <t>आपके द्वारा मौन पालन (मधुमक्खी पालन) के उत्पादन का निर्यात</t>
  </si>
  <si>
    <t>is_exporting_product</t>
  </si>
  <si>
    <t>Are you exporting your Beekeeping Produce?</t>
  </si>
  <si>
    <t>क्या आपके द्वारा मौन पालन (मधुमक्खी पालन) के उत्पादन का निर्यात किया जा रहा है।</t>
  </si>
  <si>
    <t>19.1.</t>
  </si>
  <si>
    <t>Within the State (Name of District)</t>
  </si>
  <si>
    <t xml:space="preserve">राज्य के भीतर </t>
  </si>
  <si>
    <t>[is_exporting_product]=1</t>
  </si>
  <si>
    <t>19.1.1.</t>
  </si>
  <si>
    <t>within_state_p1</t>
  </si>
  <si>
    <t>19.1.1.1.</t>
  </si>
  <si>
    <t>within_state_p1_district</t>
  </si>
  <si>
    <t>How Many Districts (Names)</t>
  </si>
  <si>
    <t>जिलो के नाम</t>
  </si>
  <si>
    <t>[within_state_p1]=1</t>
  </si>
  <si>
    <t>19.1.1.2.</t>
  </si>
  <si>
    <t>within_state_p1_unitkg</t>
  </si>
  <si>
    <t>Units (Kg)</t>
  </si>
  <si>
    <t>इकाइयाँ (किग्रा)</t>
  </si>
  <si>
    <t>19.1.1.3.</t>
  </si>
  <si>
    <t>within_state_p1_revenuers</t>
  </si>
  <si>
    <t>Revenue (Rs.)</t>
  </si>
  <si>
    <t>राजस्व (रु.)</t>
  </si>
  <si>
    <t>19.1.1.4.</t>
  </si>
  <si>
    <t>within_state_p1_byself</t>
  </si>
  <si>
    <t xml:space="preserve">By Self </t>
  </si>
  <si>
    <t>स्वयं द्वारा</t>
  </si>
  <si>
    <t>19.1.1.5.</t>
  </si>
  <si>
    <t>within_state_is_agency</t>
  </si>
  <si>
    <t>Agency</t>
  </si>
  <si>
    <t>एजेंसी द्वारा</t>
  </si>
  <si>
    <t>19.1.1.5. Agency within_state_is_agency</t>
  </si>
  <si>
    <t xml:space="preserve">19.1.1.5.1 </t>
  </si>
  <si>
    <t>within_state_p1_agency</t>
  </si>
  <si>
    <t>By Agency (Name)</t>
  </si>
  <si>
    <t>एजेंसी द्वारा (नाम)</t>
  </si>
  <si>
    <t>19.2.</t>
  </si>
  <si>
    <t>Interstate (Name of State)</t>
  </si>
  <si>
    <t>अंतरराज्यीय</t>
  </si>
  <si>
    <t>19.2.1.</t>
  </si>
  <si>
    <t>interstate_p1</t>
  </si>
  <si>
    <t>19.2.1.1.</t>
  </si>
  <si>
    <t>interstate_p1_state</t>
  </si>
  <si>
    <t>How Many States(Names)</t>
  </si>
  <si>
    <t>राज्यो के नाम</t>
  </si>
  <si>
    <t>[interstate_p1]=1</t>
  </si>
  <si>
    <t>19.2.1.2.</t>
  </si>
  <si>
    <t>interstate_p1_unitkg</t>
  </si>
  <si>
    <t>19.2.1.3.</t>
  </si>
  <si>
    <t>interstate_p1_revenuers</t>
  </si>
  <si>
    <t>19.2.1.4.</t>
  </si>
  <si>
    <t>interstate_p1_byself</t>
  </si>
  <si>
    <t xml:space="preserve">19.2.1.5. </t>
  </si>
  <si>
    <t>interstate_p1_is_agency</t>
  </si>
  <si>
    <t>19.2.1.5.1</t>
  </si>
  <si>
    <t>interstate_p1_agency</t>
  </si>
  <si>
    <t>19.3.</t>
  </si>
  <si>
    <t>Out of Country (Name of Country)</t>
  </si>
  <si>
    <t>देश से बाहर</t>
  </si>
  <si>
    <t>19.3.1.</t>
  </si>
  <si>
    <t>outof_country_p1</t>
  </si>
  <si>
    <t>Out Of Country (Name Of Country)</t>
  </si>
  <si>
    <t>19.3.1.1.</t>
  </si>
  <si>
    <t>outof_country_p1_country</t>
  </si>
  <si>
    <t>How Many Countries (Names)</t>
  </si>
  <si>
    <t>देशो के नाम</t>
  </si>
  <si>
    <t>[outof_country_p1]=1</t>
  </si>
  <si>
    <t>19.3.1.2.</t>
  </si>
  <si>
    <t>outof_country_p1_unitkg</t>
  </si>
  <si>
    <t>19.3.1.3.</t>
  </si>
  <si>
    <t>outof_country_p1_revenuers</t>
  </si>
  <si>
    <t>19.3.1.4.</t>
  </si>
  <si>
    <t>outof_country_p1_byself</t>
  </si>
  <si>
    <t xml:space="preserve">19.3.1.5. </t>
  </si>
  <si>
    <t>outof_country_p1_is_agency</t>
  </si>
  <si>
    <t>19.3.1.5.1</t>
  </si>
  <si>
    <t>outof_country_p1_agency</t>
  </si>
  <si>
    <t>Exporting the Co-Product of Beekeeping</t>
  </si>
  <si>
    <t>आपके द्वारा मौन पालन (मधुमक्खी पालन) के सह-उत्पाद का निर्यात</t>
  </si>
  <si>
    <t>20.1.</t>
  </si>
  <si>
    <t>Are you exporting the Co-Product (Beeswax) of Beekeeping?</t>
  </si>
  <si>
    <t>क्या आपके द्वारा मौन पालन (मधुमक्खी पालन) के सह-उत्पाद का निर्यात किया जा रहा है।</t>
  </si>
  <si>
    <t>isco_beeswax_products</t>
  </si>
  <si>
    <t>20.1.1.</t>
  </si>
  <si>
    <t>Within The State (Name Of District)</t>
  </si>
  <si>
    <t>राज्य के भीतर</t>
  </si>
  <si>
    <t>[isco_beeswax_products]=1</t>
  </si>
  <si>
    <t>within_state_bw1</t>
  </si>
  <si>
    <t>20.1.1.1.</t>
  </si>
  <si>
    <t>within_state_bw1_by_products</t>
  </si>
  <si>
    <t>By Products</t>
  </si>
  <si>
    <t>सह-उत्पाद</t>
  </si>
  <si>
    <t>20.1.1.1.1.</t>
  </si>
  <si>
    <t>within_state_bw1_district</t>
  </si>
  <si>
    <t>[within_state_bw1]=1</t>
  </si>
  <si>
    <t>20.1.1.1.2.</t>
  </si>
  <si>
    <t>within_state_bw1_unitkg</t>
  </si>
  <si>
    <t>20.1.1.1.3.</t>
  </si>
  <si>
    <t>within_state_bw1_revenuers</t>
  </si>
  <si>
    <t>20.1.1.1.4.</t>
  </si>
  <si>
    <t>within_state_bw1_byself</t>
  </si>
  <si>
    <t xml:space="preserve">20.1.1.1.5. </t>
  </si>
  <si>
    <t>within_state_bw1_is_agency</t>
  </si>
  <si>
    <t>20.1.1.1.5.1</t>
  </si>
  <si>
    <t>within_state_bw1_agency</t>
  </si>
  <si>
    <t>20.1.2.</t>
  </si>
  <si>
    <t>20.1.2.1.</t>
  </si>
  <si>
    <t>interstate_bw1</t>
  </si>
  <si>
    <t>interstate_bw1_by_product</t>
  </si>
  <si>
    <t>20.1.2.1.1.</t>
  </si>
  <si>
    <t>interstate_bw1_state</t>
  </si>
  <si>
    <t>Name of State</t>
  </si>
  <si>
    <t>[interstate_bw1]=1</t>
  </si>
  <si>
    <t>20.1.2.1.2.</t>
  </si>
  <si>
    <t>interstate_bw1_unitkg</t>
  </si>
  <si>
    <t>20.1.2.1.3.</t>
  </si>
  <si>
    <t>interstate_bw1_revenuers</t>
  </si>
  <si>
    <t>20.1.2.1.4.</t>
  </si>
  <si>
    <t>interstate_bw1_byself</t>
  </si>
  <si>
    <t>20.1.2.1.5.</t>
  </si>
  <si>
    <t>interstate_bw1_is_agency</t>
  </si>
  <si>
    <t>20.1.2.1.5.1</t>
  </si>
  <si>
    <t>interstate_bw1_agency</t>
  </si>
  <si>
    <t>20.1.3.</t>
  </si>
  <si>
    <t>20.1.3.1.</t>
  </si>
  <si>
    <t>outof_country_bw1</t>
  </si>
  <si>
    <t>outof_country_bw1_by_product</t>
  </si>
  <si>
    <t>20.1.3.1.1.</t>
  </si>
  <si>
    <t>outof_country_bw1_country</t>
  </si>
  <si>
    <t>Name of Country</t>
  </si>
  <si>
    <t>[outof_country_bw1]=1</t>
  </si>
  <si>
    <t>20.1.3.1.2.</t>
  </si>
  <si>
    <t>outof_country_bw1_unitkg</t>
  </si>
  <si>
    <t>20.1.3.1.3.</t>
  </si>
  <si>
    <t>outof_country_bw1_revenuers</t>
  </si>
  <si>
    <t>20.1.3.1.4.</t>
  </si>
  <si>
    <t>outof_country_bw1_byself</t>
  </si>
  <si>
    <t>20.1.3.1.5.</t>
  </si>
  <si>
    <t>outof_country_bw1_is_agency</t>
  </si>
  <si>
    <t>20.1.3.1.5.1</t>
  </si>
  <si>
    <t>outof_country_bw1_agency</t>
  </si>
  <si>
    <t>Market Competition</t>
  </si>
  <si>
    <t>बाजार में प्रतियोगिता</t>
  </si>
  <si>
    <t>market_competition</t>
  </si>
  <si>
    <t>What kind of competition do you face in the Market?</t>
  </si>
  <si>
    <t>आप को बाजार में किस तरह की प्रतियोगिता का सामना करना पड़ता है</t>
  </si>
  <si>
    <t>1,Price (कीमत)|2,Quality (गुणवत्ता)|3,Species / Variety (प्रजाति/किस्म)|99,Any Other (कोई अन्य (क्रपया स्पष्ट करें))</t>
  </si>
  <si>
    <t>1,कीमत|2,गुणवत्ता|3,प्रजाति/किस्म|4,कोईअन्य</t>
  </si>
  <si>
    <t>market_competition_other</t>
  </si>
  <si>
    <t>Market Competition - Other</t>
  </si>
  <si>
    <t>बाजार में प्रतियोगिता - अन्य</t>
  </si>
  <si>
    <t>[market_competition]=99</t>
  </si>
  <si>
    <t>beekeeping_technology</t>
  </si>
  <si>
    <t xml:space="preserve">Do you know about the Boards / Commissions formed by the Government for promotion and development of technology related to Beekeeping as well as Schemes? </t>
  </si>
  <si>
    <t>क्या आपको मौन पालन (मधुमक्खी पालन) के संबंध में संर्वधन एवं प्रौद्योगिकी के विकास हेतु सरकार द्वारा बनाये गये बोर्ड/आयोगों के साथ-साथ उनसे सम्बन्धित योजनाओं के बारे में जानकारी है</t>
  </si>
  <si>
    <t>22.1.</t>
  </si>
  <si>
    <t>National Beekeeping Mission</t>
  </si>
  <si>
    <t>राष्ट्रीय मधुमक्खी पालन एवं शहद मिशन</t>
  </si>
  <si>
    <t>[beekeeping_technology]=1</t>
  </si>
  <si>
    <t>national_beekeeping_mission</t>
  </si>
  <si>
    <t>22.1.1.</t>
  </si>
  <si>
    <t>nbm_famillar</t>
  </si>
  <si>
    <t>Are you familiar with it?</t>
  </si>
  <si>
    <t>क्या आप इससे परिचित हैं</t>
  </si>
  <si>
    <t>[national_beekeeping_mission]=1</t>
  </si>
  <si>
    <t>22.1.2.</t>
  </si>
  <si>
    <t>nbm_registered</t>
  </si>
  <si>
    <t>Are you Registered?</t>
  </si>
  <si>
    <t>आप पंजीकृत हैं</t>
  </si>
  <si>
    <t>22.1.3.</t>
  </si>
  <si>
    <t>nbm_availed_benefit</t>
  </si>
  <si>
    <t>Have you availed any benefit from this Scheme? So what</t>
  </si>
  <si>
    <t>क्या आपने इस योजना से कोई लाभ लिया हैं? तो क्या</t>
  </si>
  <si>
    <t>22.2.</t>
  </si>
  <si>
    <t>Sweet Revolution (KVIC)</t>
  </si>
  <si>
    <t>“मीठी क्रांति” KVIC</t>
  </si>
  <si>
    <t>sweet_revolution_kvic</t>
  </si>
  <si>
    <t>22.2.1.</t>
  </si>
  <si>
    <t>srkvic_famillar</t>
  </si>
  <si>
    <t>[sweet_revolution_kvic]=1</t>
  </si>
  <si>
    <t>22.2.2.</t>
  </si>
  <si>
    <t>srkvic_registered</t>
  </si>
  <si>
    <t>22.2.3.</t>
  </si>
  <si>
    <t>srkvic_availed_benefit</t>
  </si>
  <si>
    <t>22.3.</t>
  </si>
  <si>
    <t>Development of Bee breeders</t>
  </si>
  <si>
    <t>मधुमक्खी प्रजनकों का विकास</t>
  </si>
  <si>
    <t>development_bee_breeders</t>
  </si>
  <si>
    <t>22.3.1.</t>
  </si>
  <si>
    <t>dbb_famillar</t>
  </si>
  <si>
    <t>[development_bee_breeders]=1</t>
  </si>
  <si>
    <t>22.3.2.</t>
  </si>
  <si>
    <t>dbb_registered</t>
  </si>
  <si>
    <t>22.3.3.</t>
  </si>
  <si>
    <t>dbb_availed_benefit</t>
  </si>
  <si>
    <t>22.4.</t>
  </si>
  <si>
    <t>Honey Farmer Producer Organization (FPO) Program by (NAFED)</t>
  </si>
  <si>
    <t>(नेफेड) द्वारा शहद किसान उत्पादक संगठन (एफपीओ) कार्यक्रम</t>
  </si>
  <si>
    <t>honeyfarmer_producer_organization</t>
  </si>
  <si>
    <t>22.4.1.</t>
  </si>
  <si>
    <t>fpo_famillar</t>
  </si>
  <si>
    <t>[honeyfarmer_producer_organization]=1</t>
  </si>
  <si>
    <t>22.4.2.</t>
  </si>
  <si>
    <t>fpo_registered</t>
  </si>
  <si>
    <t>22.4.3.</t>
  </si>
  <si>
    <t>fpo_availed_benefit</t>
  </si>
  <si>
    <t>22.5.</t>
  </si>
  <si>
    <t>Krishi Vigyan Kendra (KVK)</t>
  </si>
  <si>
    <t>कृषि विज्ञान केंद्र (KVK)</t>
  </si>
  <si>
    <t>krishi_vigyan_kendra</t>
  </si>
  <si>
    <t>22.5.1.</t>
  </si>
  <si>
    <t>kvk_famillar</t>
  </si>
  <si>
    <t>[krishi_vigyan_kendra]=1</t>
  </si>
  <si>
    <t>22.5.2.</t>
  </si>
  <si>
    <t>kvk_registered</t>
  </si>
  <si>
    <t>22.5.3.</t>
  </si>
  <si>
    <t>kvk_availed_benefit</t>
  </si>
  <si>
    <t>22.6.</t>
  </si>
  <si>
    <t>Mission for Integrated Development of Horticulture (MIDH)</t>
  </si>
  <si>
    <t>एकीकृत बागवानी विकास मिशन (एमआईडीएच)</t>
  </si>
  <si>
    <t xml:space="preserve">mission_integrated_development </t>
  </si>
  <si>
    <t>22.6.1.</t>
  </si>
  <si>
    <t>midh_famillar</t>
  </si>
  <si>
    <t>[mission_integrated_development]=1</t>
  </si>
  <si>
    <t>22.6.2.</t>
  </si>
  <si>
    <t>midh_registered</t>
  </si>
  <si>
    <t>22.6.3.</t>
  </si>
  <si>
    <t>midh_availed_benefit</t>
  </si>
  <si>
    <t>22.7.</t>
  </si>
  <si>
    <t>State Industrial Development Mission</t>
  </si>
  <si>
    <t>राज्य औधानिक विकास मिशन</t>
  </si>
  <si>
    <t>industrial_development_mission</t>
  </si>
  <si>
    <t>22.7.1.</t>
  </si>
  <si>
    <t>sidm_famillar</t>
  </si>
  <si>
    <t>[industrial_development_mission]=1</t>
  </si>
  <si>
    <t>22.7.2.</t>
  </si>
  <si>
    <t>sidm_registered</t>
  </si>
  <si>
    <t>22.7.3.</t>
  </si>
  <si>
    <t>sidm_availed_benefit</t>
  </si>
  <si>
    <t>22.8.</t>
  </si>
  <si>
    <t>District Industrial Development Mission</t>
  </si>
  <si>
    <t>जिला औधानिक विकास मिशन</t>
  </si>
  <si>
    <t>district_development_mission</t>
  </si>
  <si>
    <t>22.8.1.</t>
  </si>
  <si>
    <t>didm_famillar</t>
  </si>
  <si>
    <t>[district_development_mission]=1</t>
  </si>
  <si>
    <t>22.8.2.</t>
  </si>
  <si>
    <t>didm_registered</t>
  </si>
  <si>
    <t>22.8.3.</t>
  </si>
  <si>
    <t>didm_availed_benefit</t>
  </si>
  <si>
    <t>22.9.</t>
  </si>
  <si>
    <t>Sphoorti (MSME)</t>
  </si>
  <si>
    <t>(स्फूर्ति) एमएसएमई</t>
  </si>
  <si>
    <t>sphoorti_msme</t>
  </si>
  <si>
    <t>22.9.1.</t>
  </si>
  <si>
    <t>msme_famillar</t>
  </si>
  <si>
    <t>[sphoorti_msme]=1</t>
  </si>
  <si>
    <t>22.9.2.</t>
  </si>
  <si>
    <t>msme_registered</t>
  </si>
  <si>
    <t>22.9.3.</t>
  </si>
  <si>
    <t>msme_availed_benefit</t>
  </si>
  <si>
    <t>22.10.</t>
  </si>
  <si>
    <t>Other Scheme</t>
  </si>
  <si>
    <t>अन्य योजना</t>
  </si>
  <si>
    <t>other_scheme</t>
  </si>
  <si>
    <t>22.10.1.</t>
  </si>
  <si>
    <t>other_scheme_name</t>
  </si>
  <si>
    <t>Name of Other Scheme</t>
  </si>
  <si>
    <t>अन्य योजना का नाम</t>
  </si>
  <si>
    <t>[other_scheme]=1</t>
  </si>
  <si>
    <t>22.10.2.</t>
  </si>
  <si>
    <t>other_scheme_famillar</t>
  </si>
  <si>
    <t>22.10.3.</t>
  </si>
  <si>
    <t>other_scheme_registered</t>
  </si>
  <si>
    <t>22.10.4.</t>
  </si>
  <si>
    <t>other_scheme_availed_benefit</t>
  </si>
  <si>
    <t>Any help from District Horticulture Dept. for Beekeeping</t>
  </si>
  <si>
    <t>मौन पालन (मधुमक्खी पालन) के संबंध में किसी प्रकार की सहायता</t>
  </si>
  <si>
    <t>beekeeping_help_horticulture_department</t>
  </si>
  <si>
    <t>Do you get any kind of help regarding Beekeeping from the Horticulture Department of the District?</t>
  </si>
  <si>
    <t>क्या जनपद के उद्यान विभाग से आपको मौन पालन (मधुमक्खी पालन) के संबंध में किसी प्रकार की सहायता मिलती है</t>
  </si>
  <si>
    <t>23.1.</t>
  </si>
  <si>
    <t>Beekeeping Boxes</t>
  </si>
  <si>
    <t>मधुमक्खी पालन बक्से</t>
  </si>
  <si>
    <t>beekeeping_boxes</t>
  </si>
  <si>
    <t>23.1.1.</t>
  </si>
  <si>
    <t>bb_help_year</t>
  </si>
  <si>
    <t>वर्ष</t>
  </si>
  <si>
    <t>[beekeeping_boxes]=1</t>
  </si>
  <si>
    <t>23.1.2.</t>
  </si>
  <si>
    <t>bb_help_scheme_name</t>
  </si>
  <si>
    <t>Name of the Scheme</t>
  </si>
  <si>
    <t>योजना का नाम</t>
  </si>
  <si>
    <t>1,National Beekeeping and Honey Mission (राष्ट्रीय मधुमक्खी पालन एवं शहद मिशन)|2,Sweet Revolution (मीठी क्रांति)|3,Development of Bee Breeders (मधुमक्खी प्रजनकों का विकास)|4,Honey Farmer Producer Organization (FPO) Program by (NAFED) ((नेफेड) द्वारा शहद किसान उत्पादक संगठन (एफपीओ) कार्यक्रम)|99,Others (अन्य-क्रपया स्पष्ट करें)</t>
  </si>
  <si>
    <t>1,राष्ट्रीय मधुमक्खी पालन एवं शहद मिशन|2,मीठी क्रांति|3,मधुमक्खी प्रजनकों का विकास|4,(नेफेड) द्वारा शहद किसान उत्पादक संगठन (एफपीओ) कार्यक्रम|5,अन्य</t>
  </si>
  <si>
    <t>23.1.2.1.</t>
  </si>
  <si>
    <t>bb_help_other_scheme_name</t>
  </si>
  <si>
    <t>Name of the Scheme - Other</t>
  </si>
  <si>
    <t>योजना का नाम - अन्य</t>
  </si>
  <si>
    <t>[bb_help_scheme_name]=99</t>
  </si>
  <si>
    <t>23.1.3.</t>
  </si>
  <si>
    <t>bb_help_dbt_cash</t>
  </si>
  <si>
    <t>Through DBT Cash (In Rs.)</t>
  </si>
  <si>
    <t>डीबीटी के माध्यम से नकद (रुपये में)</t>
  </si>
  <si>
    <t>23.2.</t>
  </si>
  <si>
    <t>Honey Processing (Branding / Grading / Packaging)</t>
  </si>
  <si>
    <t>शहद प्रसंस्करण (ब्रांडिंग/ ग्रेडिंग/ पैकेजिंग)</t>
  </si>
  <si>
    <t>honeyprocessing_branding</t>
  </si>
  <si>
    <t>23.2.1..</t>
  </si>
  <si>
    <t>hpbgp_help_year</t>
  </si>
  <si>
    <t>[honeyprocessing_branding]=1</t>
  </si>
  <si>
    <t>23.2.2.</t>
  </si>
  <si>
    <t>hpbgp_help_scheme_name</t>
  </si>
  <si>
    <t>23.2.2.1</t>
  </si>
  <si>
    <t>hpbgp_help_other_scheme_name</t>
  </si>
  <si>
    <t>[hpbgp_help_scheme_name]=99</t>
  </si>
  <si>
    <t>23.2.3.</t>
  </si>
  <si>
    <t>hpbgp_help_dbt_cash</t>
  </si>
  <si>
    <t>23.3.</t>
  </si>
  <si>
    <t>Operation of Honey Processing Unit</t>
  </si>
  <si>
    <t>शहद प्रोसेसिंग इकाई का संचालन</t>
  </si>
  <si>
    <t>operation_honey_processing</t>
  </si>
  <si>
    <t>23.3.1.</t>
  </si>
  <si>
    <t>ohpu_help_year</t>
  </si>
  <si>
    <t>[operation_honey_processing]=1</t>
  </si>
  <si>
    <t>23.3.2.</t>
  </si>
  <si>
    <t>ohpu_help_scheme_name</t>
  </si>
  <si>
    <t>23.3.2.1.</t>
  </si>
  <si>
    <t>ohpu_help_other_scheme_name</t>
  </si>
  <si>
    <t>[ohpu_help_scheme_name]=99</t>
  </si>
  <si>
    <t>23.3.3.</t>
  </si>
  <si>
    <t>ohpu_help_dbt_cash</t>
  </si>
  <si>
    <t>23.4.</t>
  </si>
  <si>
    <t>Other Help</t>
  </si>
  <si>
    <t>अन्य सहायता</t>
  </si>
  <si>
    <t>other_help</t>
  </si>
  <si>
    <t>23.4.1.</t>
  </si>
  <si>
    <t>oh_help_year</t>
  </si>
  <si>
    <t>[other_help]=1</t>
  </si>
  <si>
    <t>23.4.2.</t>
  </si>
  <si>
    <t>oh_help_scheme_name</t>
  </si>
  <si>
    <t>23.4.2.1.</t>
  </si>
  <si>
    <t>oh_help_other_scheme_name</t>
  </si>
  <si>
    <t>[oh_help_scheme_name]=99 AND [other_help]=1</t>
  </si>
  <si>
    <t>23.4.3.</t>
  </si>
  <si>
    <t>oh_help_dbt_cash</t>
  </si>
  <si>
    <t>Membership Information</t>
  </si>
  <si>
    <t>संस्था/संगठन/निगम</t>
  </si>
  <si>
    <t>membership_information</t>
  </si>
  <si>
    <t>Are you a member of any Government Institution / Organization / Corporation?</t>
  </si>
  <si>
    <t>क्या आप किसी सरकारी संस्था/संगठन/निगम के सदस्य है</t>
  </si>
  <si>
    <t>Membership: 1</t>
  </si>
  <si>
    <t>मेम्बरशिप 1</t>
  </si>
  <si>
    <t>24.1.1</t>
  </si>
  <si>
    <t>sr1_member_institution_name</t>
  </si>
  <si>
    <t>Name of Institution/Organization/Corporation</t>
  </si>
  <si>
    <t>संस्था का नाम</t>
  </si>
  <si>
    <t>24.1.2</t>
  </si>
  <si>
    <t>sr1_member_institution_received_benefit</t>
  </si>
  <si>
    <t>Benefits Received</t>
  </si>
  <si>
    <t>प्राप्त लाभ</t>
  </si>
  <si>
    <t>Membership: 2</t>
  </si>
  <si>
    <t>मेम्बरशिप 2</t>
  </si>
  <si>
    <t>24.2.1</t>
  </si>
  <si>
    <t>sr2_member_institution_name</t>
  </si>
  <si>
    <t>24.2.2</t>
  </si>
  <si>
    <t>sr2_member_institution_received_benefit</t>
  </si>
  <si>
    <t>Membership: 3</t>
  </si>
  <si>
    <t>मेम्बरशिप 3</t>
  </si>
  <si>
    <t>24.3.1</t>
  </si>
  <si>
    <t>sr3_member_institution_name</t>
  </si>
  <si>
    <t>24.3.2</t>
  </si>
  <si>
    <t>sr3_member_institution_received_benefit</t>
  </si>
  <si>
    <t>Major upcoming obstacles in Beekeeping</t>
  </si>
  <si>
    <t>मधुमक्खी पालन के संबंध में प्रमुख बाधाएँ</t>
  </si>
  <si>
    <t>beekeeping_major_obstacles</t>
  </si>
  <si>
    <t>What are the major obstacles faced in Beekeeping in your area?</t>
  </si>
  <si>
    <t>आपके क्षेत्र में मधुमक्खी पालन के संबंध में प्रमुख बाधाएँ क्या आती हैं</t>
  </si>
  <si>
    <t>1,High Cost of Modern Hives and Accessories (आधुनिक छत्तों और सहायक उपकरणों की उच्च लागत)|2,Lack of access to Modern Bee Hives (आधुनिक मधुमक्खी छत्तों तक पहुंच का अभाव)|3,Bee Variety Reduction (मधुमक्खी किस्मों की कमी)|4,Lack of Bee Fodder (मधुमक्खी चारे की कमी)|5,Water Deficiency (जल की कमी)|6,Drought (Lack of Rainfall) (सूखा (वर्षा की कमी))|7,Escape of Bees (मधुमक्खियों का फरार होना)|8,Impact from Pests and Predators (कीटों और शिकारियों से प्रभाव)|9,High Temperature (उच्च तापमान)|10,Strong Wind (प्रचंड हवा)|11,Heavy Rain (अधिक वर्षा)|12,Effects of Agrochemicals (कृषि-रसायनों से प्रभाव)|13,Death of Bees (मधुमक्खियों की मृत्यु)|14,Transfer of Beehive Box (मधुमक्खी के छत्ते बक्से का स्थानांतरण)|15,Swarming (झुंड की कमी)|16,Lack of Poor Management (ख़राब प्रबंधन का अभाव)|17,Lack of Institutional Capacity (संस्थागत क्षमता का अभाव)|18,Lack of Adequate Beekeeping Skills (पर्याप्त मधुमक्खी पालन कौशल का अभाव)|19,Lack of Adequate Credit Facilities (पर्याप्त ऋण सुविधाओं का अभाव)|20,Marketing Problems (विपणन समस्याएँ)|99,Other (अन्य)</t>
  </si>
  <si>
    <t>1,आधुनिक छत्तों और सहायक उपकरणों की उच्च लागत|2,आधुनिक मधुमक्खी छत्तों तक पहुंच का अभाव|3,मधुमक्खी कॉलोनी की कमी|4,मधुमक्खी चारे की कमी|5,जल की कमी|6,सूखा (वर्षा की कमी)|7,मधुमक्खियों का फरार होना|8,कीटों और शिकारियों से प्रभाव|9,उच्च तापमान|10,प्रचंड हवा|11,अधिक वर्षा|12,कृषि-रसायनों से प्रभाव|13,मधुमक्खी कॉलोनी की मृत्यु|14,मधुमक्खी के छत्ते बक्से का स्थानांतरण|15,झुंड की कमी|16,ख़राब प्रबंधन का अभाव|17,संस्थागत क्षमता का अभाव|18,पर्याप्त मधुमक्खी पालन कौशल का अभाव|19,पर्याप्त ऋण सुविधाओं का अभाव|20,विपणन समस्याएँ|21,अन्य</t>
  </si>
  <si>
    <t>beekeeping_major_obstacles_other</t>
  </si>
  <si>
    <t>What are the major obstacles faced in Beekeeping in your area? - Other</t>
  </si>
  <si>
    <t>आपके क्षेत्र में मधुमक्खी पालन के संबंध में प्रमुख बाधाएँ क्या आती हैं - अन्य</t>
  </si>
  <si>
    <t>[beekeeping_major_obstacles]=99</t>
  </si>
  <si>
    <t>Factors affecting the Production of Honey</t>
  </si>
  <si>
    <t>शहद के उत्पादन को प्रभावित करने वाले कारक</t>
  </si>
  <si>
    <t>honey_affecting_factors</t>
  </si>
  <si>
    <t>What are the factors affecting the Production of Honey?</t>
  </si>
  <si>
    <t>शहद के उत्पादन को प्रभावित करने वाले कारक कौन से हैं</t>
  </si>
  <si>
    <t>1,Loss of Bee Colonies (मधुमक्खी कालोनियों का नुकसान)|2,Migration of Bee Colonies (मधुमक्खी कालोनियों के पलायन)|3,Drying of Water Sources (जलस्रोतों का सूखना)|99,Other (अन्य)</t>
  </si>
  <si>
    <t>1,मधुमक्खी कालोनियों का नुकसान|2,मधुमक्खी कालोनियों के पलायन|3,जल स्रोतों का सूखना|4,अन्य</t>
  </si>
  <si>
    <t>26.1.</t>
  </si>
  <si>
    <t>honey_affecting_factors_other</t>
  </si>
  <si>
    <t>What are the factors affecting the Production of Honey? - Other</t>
  </si>
  <si>
    <t>शहद के उत्पादन को प्रभावित करने वाले कारक कौन से हैं - अन्य</t>
  </si>
  <si>
    <t>[honey_affecting_factors]=99</t>
  </si>
  <si>
    <t>Factors affecting bees</t>
  </si>
  <si>
    <t>मधुमक्खियों को प्रभावित करने वाले कारक</t>
  </si>
  <si>
    <t>bee_affecting_factors</t>
  </si>
  <si>
    <t>What are the factors affecting Bees?</t>
  </si>
  <si>
    <t>मधुमक्खियों को प्रभावित करने वाले कारक कौन से हैं</t>
  </si>
  <si>
    <t>1,Bees protect against many Pests and Diseases (मधुमक्खियाँ कई कीटों और बीमारियों )|2,Mite (घुन)|3,Various Viruses (विभिन्न वायरस)|4,Bacterial Infection (जीवाणु संक्रमण)|5,Fungal Disease (फंगल रोग)|99,Other (अन्य)</t>
  </si>
  <si>
    <t>1,मधुमक्खियाँ कई कीटों और बीमारियों|2,घुन|3,विभिन्न वायरस|4,जीवाणु संक्रमण|5,फंगल रोग|6,अन्य</t>
  </si>
  <si>
    <t>27.1.</t>
  </si>
  <si>
    <t>bee_affecting_factors_other</t>
  </si>
  <si>
    <t>What are the factors affecting Bees? - Other</t>
  </si>
  <si>
    <t>मधुमक्खियों को प्रभावित करने वाले कारक कौन से हैं - अन्य</t>
  </si>
  <si>
    <t>[bee_affecting_factors]=99</t>
  </si>
  <si>
    <t>Factors that determine the quality of Honey</t>
  </si>
  <si>
    <t>शहद की गुणवत्ता निर्धारित करने वाले कारक</t>
  </si>
  <si>
    <t>honey_determine_quality_factors</t>
  </si>
  <si>
    <t>What are the factors that determine the quality of Honey?</t>
  </si>
  <si>
    <t>शहद की गुणवत्ता निर्धारित करने वाले कारक कौन से हैं</t>
  </si>
  <si>
    <t>1,Origin and age of Flowers (फूलों की उत्पत्ति और उम्र)|2,Pollen Type (पराग प्रकार)|3,Climate Factors (जलवायु कारकों)|4,Structure influenced by Production Parameters (उत्पादन मापदंडों से प्रभावित संरचना)|99,Other (अन्य)</t>
  </si>
  <si>
    <t>1,फूलों की उत्पत्ति और उम्र|2,पराग प्रकार|3,जलवायु कारकों|4,उत्पादन माप दंडों से प्रभावित संरचना|5,अन्य</t>
  </si>
  <si>
    <t>28.1.</t>
  </si>
  <si>
    <t>honey_determine_quality_factors_other</t>
  </si>
  <si>
    <t>What are the factors that determine the quality of Honey? - Other</t>
  </si>
  <si>
    <t>शहद की गुणवत्ता निर्धारित करने वाले कारक कौन से हैं - अन्य</t>
  </si>
  <si>
    <t>[honey_determine_quality_factors]=99</t>
  </si>
  <si>
    <t>Please provide colony count and average rental price for pollination.</t>
  </si>
  <si>
    <t>क्या आपके द्वारा परागण उद्देश्यों के लिए किराए पर दी गई कॉलोनियों की संख्या और प्रति कॉलोनी औसत किराये की कीमत बताएं।</t>
  </si>
  <si>
    <t>rental_confirm</t>
  </si>
  <si>
    <t>29.1.1.</t>
  </si>
  <si>
    <t>Record: 1</t>
  </si>
  <si>
    <t>रेकॉर्ड : 1</t>
  </si>
  <si>
    <t>flowers1_confirm</t>
  </si>
  <si>
    <t>sr1_flowers_type_of_crop</t>
  </si>
  <si>
    <t>Type Of Crop To Be Pollinated</t>
  </si>
  <si>
    <t>परागण की जाने वाली फसल का प्रकार</t>
  </si>
  <si>
    <t>1,Flower (फ्लावर)|2,Fruit (फल)|99,Other (अन्य)</t>
  </si>
  <si>
    <t xml:space="preserve">29.1.1 </t>
  </si>
  <si>
    <t>sr1_flowers_type_of_crop_other</t>
  </si>
  <si>
    <t>Type Of Crop Other Name</t>
  </si>
  <si>
    <t>परागण की जाने वाली फसल का प्रकार - अन्य</t>
  </si>
  <si>
    <t>29.1.1.1.</t>
  </si>
  <si>
    <t>sr1_flowers_crop_name</t>
  </si>
  <si>
    <t>Name of the crop to be Pollinated</t>
  </si>
  <si>
    <t>परागण की जाने वाली फसल का नाम</t>
  </si>
  <si>
    <t>[flowers1_confirm]=1</t>
  </si>
  <si>
    <t>29.1.1.2.</t>
  </si>
  <si>
    <t>sr1_flowers_colonies_number</t>
  </si>
  <si>
    <t>Number of Colonies</t>
  </si>
  <si>
    <t>कालोनियों की संख्या</t>
  </si>
  <si>
    <t>29.1.1.3.</t>
  </si>
  <si>
    <t>sr1_flowers_average_price_per_colony</t>
  </si>
  <si>
    <t>Average Price per Colony</t>
  </si>
  <si>
    <t>प्रति कॉलोनी औसत मूल्य</t>
  </si>
  <si>
    <t>29.1.2.</t>
  </si>
  <si>
    <t>Record: 2</t>
  </si>
  <si>
    <t>रेकॉर्ड : 2</t>
  </si>
  <si>
    <t>flowers2_confirm</t>
  </si>
  <si>
    <t>sr2_flowers_type_of_crop</t>
  </si>
  <si>
    <t>sr2_flowers_type_of_crop_other</t>
  </si>
  <si>
    <t>29.1.2.1.</t>
  </si>
  <si>
    <t>sr2_flowers_crop_name</t>
  </si>
  <si>
    <t>[flowers2_confirm]=1</t>
  </si>
  <si>
    <t>29.1.2.2.</t>
  </si>
  <si>
    <t>sr2_flowers_colonies_number</t>
  </si>
  <si>
    <t>29.1.2.3.</t>
  </si>
  <si>
    <t>sr2_flowers_average_price_per_colony</t>
  </si>
  <si>
    <t>Beekeeping Contract Detail</t>
  </si>
  <si>
    <t>मधुमक्खी पालन अनुबंध</t>
  </si>
  <si>
    <t>beekeeping_contract</t>
  </si>
  <si>
    <t>Are you working under any kind of contract during Beekeeping?</t>
  </si>
  <si>
    <t>क्या आप मधुमक्खी पालन के दौरान किसी प्रकार के अनुबंध के तहत काम कर रहे हैं</t>
  </si>
  <si>
    <t>1,Yes|
2,No</t>
  </si>
  <si>
    <t>30.1.</t>
  </si>
  <si>
    <t>type_of_contract</t>
  </si>
  <si>
    <t>Type of contract</t>
  </si>
  <si>
    <t>अनुबंध का प्रकार</t>
  </si>
  <si>
    <t>[beekeeping_contract]=1</t>
  </si>
  <si>
    <t>1,Oral (मौखिक)|
2, Written (लिखित)</t>
  </si>
  <si>
    <t>30.2.</t>
  </si>
  <si>
    <t>name_of_contract</t>
  </si>
  <si>
    <t xml:space="preserve">Name Of Firm / Contractor / Processing Unit </t>
  </si>
  <si>
    <t>फर्म / ठेकेदार / प्रसंस्करण इकाई का नाम</t>
  </si>
  <si>
    <t xml:space="preserve">1, Dabur| 
2,Patanjali|
3,Reliance Retail Ltd.|
4, Shri Baidyanath Ayurveda Bhavan Pvt. Ltd.|
5, Epis India|
6, Emami Limited|
7, Bharat Honey|
8, Hit Curry Pharmacy Pvt. Ltd.|
9, Sri. Baidyanath Ayurveda Bhavan Pvt. Ltd.|
10, Kejriwal Beare India Pvt.|
99, Any Other (Name Specific) </t>
  </si>
  <si>
    <t>30.2.1.</t>
  </si>
  <si>
    <t>name_of_contract_other</t>
  </si>
  <si>
    <t>Name Of Firm / Contractor / Processing Unit - Other</t>
  </si>
  <si>
    <t>फर्म / ठेकेदार / प्रसंस्करण इकाई का नाम - अन्य</t>
  </si>
  <si>
    <t>[name_of_contract]=1</t>
  </si>
  <si>
    <t>30.3.</t>
  </si>
  <si>
    <t>parameters_of_contract</t>
  </si>
  <si>
    <t>Parameters of Contract</t>
  </si>
  <si>
    <t>अनुबंध के पैरामीटर</t>
  </si>
  <si>
    <t>1, Output (Quantity) (उत्पादन - मात्रा)|
2, Price (MRP) (कीमत - एम.आर. पी)|
3, Input (Suppy/Cost) (आगत (इनपुट)-आपूर्ति/लागत)|
4, Quality (As per Nutrition) (गुणवत्ता (पोषण के अनुसार))|
99, Any Other (कोई अन्य (क्रपया स्पष्ट करें))</t>
  </si>
  <si>
    <t>30.3.1.</t>
  </si>
  <si>
    <t>parameters_of_contract_other</t>
  </si>
  <si>
    <t>Parameters of Contract - Other</t>
  </si>
  <si>
    <t>अनुबंध के पैरामीटर - अन्य</t>
  </si>
  <si>
    <t>[parameters_of_contract]=1</t>
  </si>
  <si>
    <t>30.4.</t>
  </si>
  <si>
    <t>benefits_contract_confirm</t>
  </si>
  <si>
    <t>Are you any benefits after contract</t>
  </si>
  <si>
    <t>क्या आपको अनुबंध के बाद कोई लाभ मिल रहा है</t>
  </si>
  <si>
    <t>30.5.</t>
  </si>
  <si>
    <t>type_of_benefits</t>
  </si>
  <si>
    <t>If Yes, then type of benefits</t>
  </si>
  <si>
    <t>यदि हाँ तो लाभ का प्रकार</t>
  </si>
  <si>
    <t xml:space="preserve">1, Increase Production (Output) (उत्पादन में वृद्धि (आउटपुट))|
2, Increase Farm Income (कृषि आय में वृद्धि)|
3, Decrease Inputs Cost (आगत (इनपुट) लागत में कमी)|
4, Minimize Risk under production (उत्पादन के तहत न्यूनतम जोखिम)|
5, Helps Quality Control (गुणवत्ता नियंत्रण में मदद करना)|
6, Infrastructure Support System (बुनियादी (इंफ्रास्ट्रक्चर) सुविधाओं में सुधार)|
7, Basic Inputs Support (आगत (इनपुट)  सुविधाओं की आपूर्ति)|
8, Improment under Technical Support (तकनीकी सहायता के अंतर्गत सुधार)|
9, Maintain high standard of beekeeping process activities (मधुमक्खी पालन प्रक्रिया गतिविधियों के उच्च मानक बनाए रखना)|
99, Any Other (कोई अन्य (क्रपया स्पष्ट करें)) </t>
  </si>
  <si>
    <t>30.5.1.</t>
  </si>
  <si>
    <t>type_of_benefits_other</t>
  </si>
  <si>
    <t>If Yes, then type of benefits - Other</t>
  </si>
  <si>
    <t>यदि हाँ तो लाभ का प्रकार - अन्य</t>
  </si>
  <si>
    <t>[type_of_benefits]=1</t>
  </si>
  <si>
    <t>is_sales_variety_wise</t>
  </si>
  <si>
    <t>Sales variety wise (Yes or No)</t>
  </si>
  <si>
    <t>विविधता के अनुसार बिक्री (हाँ या नहीं)</t>
  </si>
  <si>
    <t>Variety 1</t>
  </si>
  <si>
    <t>विविधता 1</t>
  </si>
  <si>
    <t>[is_sales_variety_wise]=1</t>
  </si>
  <si>
    <t>31.1.0</t>
  </si>
  <si>
    <t>vari1_name</t>
  </si>
  <si>
    <t>Name</t>
  </si>
  <si>
    <t>नाम</t>
  </si>
  <si>
    <t>31.1.1</t>
  </si>
  <si>
    <t>vari1_qty</t>
  </si>
  <si>
    <t>Quntity (in KG)</t>
  </si>
  <si>
    <t>मात्रा (किलोग्राम में)</t>
  </si>
  <si>
    <t>31.1.2</t>
  </si>
  <si>
    <t>vari1_rate</t>
  </si>
  <si>
    <t>Rate per KG (in Rs)</t>
  </si>
  <si>
    <t>प्रति किलोग्राम दर (रुपये में)</t>
  </si>
  <si>
    <t>Variety 2</t>
  </si>
  <si>
    <t>विविधता 2</t>
  </si>
  <si>
    <t>31.2.0</t>
  </si>
  <si>
    <t>vari2_name</t>
  </si>
  <si>
    <t>31.2.1.</t>
  </si>
  <si>
    <t>vari2_qty</t>
  </si>
  <si>
    <t>31.2.2.</t>
  </si>
  <si>
    <t>vari2_rate</t>
  </si>
  <si>
    <t>Variety 3</t>
  </si>
  <si>
    <t>विविधता 3</t>
  </si>
  <si>
    <t>31.3.0</t>
  </si>
  <si>
    <t>vari3_name</t>
  </si>
  <si>
    <t>31.3.1.</t>
  </si>
  <si>
    <t>vari3_qty</t>
  </si>
  <si>
    <t>31.3.2.</t>
  </si>
  <si>
    <t>vari3_rate</t>
  </si>
  <si>
    <t>31.4.</t>
  </si>
  <si>
    <t>Variety 4</t>
  </si>
  <si>
    <t>विविधता 4</t>
  </si>
  <si>
    <t>31.4.0</t>
  </si>
  <si>
    <t>vari4_name</t>
  </si>
  <si>
    <t>31.4.1.</t>
  </si>
  <si>
    <t>vari4_qty</t>
  </si>
  <si>
    <t>31.4.2.</t>
  </si>
  <si>
    <t>vari4_rate</t>
  </si>
  <si>
    <t>31.5.</t>
  </si>
  <si>
    <t>Variety 5</t>
  </si>
  <si>
    <t>विविधता 5</t>
  </si>
  <si>
    <t>31.5.0</t>
  </si>
  <si>
    <t>vari5_name</t>
  </si>
  <si>
    <t>31.5.1.</t>
  </si>
  <si>
    <t>vari5_qty</t>
  </si>
  <si>
    <t>31.5.2.</t>
  </si>
  <si>
    <t>vari5_rate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</si>
</sst>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2"/>
      <color theme="1"/>
      <name val="Arial"/>
    </font>
    <font>
      <sz val="10"/>
      <color theme="1"/>
      <name val="Arial"/>
    </font>
    <font>
      <sz val="12"/>
      <color theme="1"/>
      <name val="Arial"/>
    </font>
    <font>
      <b/>
      <sz val="12"/>
      <color theme="1"/>
      <name val="Roboto"/>
    </font>
    <font>
      <b/>
      <sz val="10"/>
      <color theme="1"/>
      <name val="Arial"/>
    </font>
    <font>
      <sz val="12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0000FF"/>
        <bgColor rgb="FF0000FF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2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vertical="center" wrapText="1"/>
    </xf>
    <xf numFmtId="0" fontId="3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5" borderId="0" xfId="0" applyFont="1" applyFill="1" applyAlignment="1">
      <alignment vertical="center" wrapText="1"/>
    </xf>
    <xf numFmtId="0" fontId="1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vertical="center"/>
    </xf>
    <xf numFmtId="0" fontId="3" fillId="7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1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1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vertical="center" wrapText="1"/>
    </xf>
    <xf numFmtId="0" fontId="5" fillId="7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560"/>
  <sheetViews>
    <sheetView tabSelected="1" workbookViewId="0">
      <pane ySplit="1" topLeftCell="A2" activePane="bottomLeft" state="frozen"/>
      <selection pane="bottomLeft" activeCell="B13" sqref="B13"/>
    </sheetView>
  </sheetViews>
  <sheetFormatPr defaultColWidth="12.6640625" defaultRowHeight="15.75" customHeight="1" x14ac:dyDescent="0.25"/>
  <cols>
    <col min="1" max="1" width="9.21875" customWidth="1"/>
    <col min="2" max="2" width="37.109375" customWidth="1"/>
    <col min="3" max="4" width="48" customWidth="1"/>
    <col min="5" max="5" width="29.6640625" customWidth="1"/>
    <col min="6" max="6" width="62.77734375" customWidth="1"/>
    <col min="7" max="7" width="23.88671875" customWidth="1"/>
    <col min="8" max="8" width="31.21875" customWidth="1"/>
    <col min="11" max="11" width="25.88671875" customWidth="1"/>
    <col min="12" max="12" width="27.21875" customWidth="1"/>
    <col min="13" max="13" width="34.88671875" customWidth="1"/>
    <col min="14" max="14" width="38" customWidth="1"/>
  </cols>
  <sheetData>
    <row r="1" spans="1:31" x14ac:dyDescent="0.25">
      <c r="A1" s="1" t="s">
        <v>0</v>
      </c>
      <c r="B1" s="2" t="s">
        <v>1</v>
      </c>
      <c r="C1" s="2"/>
      <c r="D1" s="2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 x14ac:dyDescent="0.25">
      <c r="A2" s="4">
        <v>1</v>
      </c>
      <c r="B2" s="5"/>
      <c r="C2" s="6"/>
      <c r="D2" s="6" t="s">
        <v>13</v>
      </c>
      <c r="E2" s="6" t="s">
        <v>14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1" x14ac:dyDescent="0.25">
      <c r="A3" s="7">
        <v>1.1000000000000001</v>
      </c>
      <c r="B3" s="8" t="s">
        <v>15</v>
      </c>
      <c r="C3" s="8"/>
      <c r="D3" s="8" t="s">
        <v>16</v>
      </c>
      <c r="E3" s="8" t="s">
        <v>17</v>
      </c>
      <c r="F3" s="7" t="s">
        <v>18</v>
      </c>
      <c r="G3" s="9"/>
      <c r="H3" s="8" t="s">
        <v>19</v>
      </c>
      <c r="I3" s="9"/>
      <c r="J3" s="9"/>
      <c r="K3" s="9"/>
      <c r="L3" s="9"/>
      <c r="M3" s="9"/>
      <c r="N3" s="9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x14ac:dyDescent="0.25">
      <c r="A4" s="7">
        <v>1.2</v>
      </c>
      <c r="B4" s="8" t="s">
        <v>20</v>
      </c>
      <c r="C4" s="8"/>
      <c r="D4" s="8" t="s">
        <v>21</v>
      </c>
      <c r="E4" s="8" t="s">
        <v>22</v>
      </c>
      <c r="F4" s="7" t="s">
        <v>18</v>
      </c>
      <c r="G4" s="7" t="s">
        <v>21</v>
      </c>
      <c r="H4" s="8" t="s">
        <v>19</v>
      </c>
      <c r="I4" s="9"/>
      <c r="J4" s="9"/>
      <c r="K4" s="9"/>
      <c r="L4" s="9"/>
      <c r="M4" s="9"/>
      <c r="N4" s="9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spans="1:31" x14ac:dyDescent="0.25">
      <c r="A5" s="7">
        <v>1.3</v>
      </c>
      <c r="B5" s="8" t="s">
        <v>23</v>
      </c>
      <c r="C5" s="8"/>
      <c r="D5" s="8" t="s">
        <v>24</v>
      </c>
      <c r="E5" s="8" t="s">
        <v>25</v>
      </c>
      <c r="F5" s="7" t="s">
        <v>26</v>
      </c>
      <c r="G5" s="9"/>
      <c r="H5" s="8" t="s">
        <v>19</v>
      </c>
      <c r="I5" s="9"/>
      <c r="J5" s="9"/>
      <c r="K5" s="9"/>
      <c r="L5" s="8" t="s">
        <v>27</v>
      </c>
      <c r="M5" s="9"/>
      <c r="N5" s="9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spans="1:31" x14ac:dyDescent="0.25">
      <c r="A6" s="7">
        <v>1.3</v>
      </c>
      <c r="B6" s="8" t="s">
        <v>28</v>
      </c>
      <c r="C6" s="8"/>
      <c r="D6" s="8" t="s">
        <v>29</v>
      </c>
      <c r="E6" s="8" t="s">
        <v>30</v>
      </c>
      <c r="F6" s="7" t="s">
        <v>18</v>
      </c>
      <c r="G6" s="9"/>
      <c r="H6" s="9"/>
      <c r="I6" s="9"/>
      <c r="J6" s="9"/>
      <c r="K6" s="8" t="s">
        <v>31</v>
      </c>
      <c r="L6" s="9"/>
      <c r="M6" s="9"/>
      <c r="N6" s="9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 spans="1:31" x14ac:dyDescent="0.25">
      <c r="A7" s="7">
        <v>1.4</v>
      </c>
      <c r="B7" s="8" t="s">
        <v>32</v>
      </c>
      <c r="C7" s="8"/>
      <c r="D7" s="8" t="s">
        <v>33</v>
      </c>
      <c r="E7" s="8" t="s">
        <v>34</v>
      </c>
      <c r="F7" s="11" t="s">
        <v>35</v>
      </c>
      <c r="G7" s="9"/>
      <c r="H7" s="8" t="s">
        <v>19</v>
      </c>
      <c r="I7" s="9"/>
      <c r="J7" s="9"/>
      <c r="K7" s="9"/>
      <c r="L7" s="8" t="s">
        <v>36</v>
      </c>
      <c r="M7" s="9"/>
      <c r="N7" s="9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 spans="1:31" x14ac:dyDescent="0.25">
      <c r="A8" s="7">
        <v>1.5</v>
      </c>
      <c r="B8" s="8" t="s">
        <v>37</v>
      </c>
      <c r="C8" s="8"/>
      <c r="D8" s="8" t="s">
        <v>38</v>
      </c>
      <c r="E8" s="8" t="s">
        <v>39</v>
      </c>
      <c r="F8" s="11" t="s">
        <v>35</v>
      </c>
      <c r="G8" s="9"/>
      <c r="H8" s="8" t="s">
        <v>19</v>
      </c>
      <c r="I8" s="9"/>
      <c r="J8" s="9"/>
      <c r="K8" s="9"/>
      <c r="L8" s="8" t="s">
        <v>36</v>
      </c>
      <c r="M8" s="9"/>
      <c r="N8" s="9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 spans="1:31" x14ac:dyDescent="0.25">
      <c r="A9" s="7">
        <v>1.6</v>
      </c>
      <c r="B9" s="8" t="s">
        <v>40</v>
      </c>
      <c r="C9" s="8"/>
      <c r="D9" s="8" t="s">
        <v>41</v>
      </c>
      <c r="E9" s="8" t="s">
        <v>42</v>
      </c>
      <c r="F9" s="11" t="s">
        <v>18</v>
      </c>
      <c r="G9" s="9"/>
      <c r="H9" s="8" t="s">
        <v>19</v>
      </c>
      <c r="I9" s="9"/>
      <c r="J9" s="9"/>
      <c r="K9" s="9"/>
      <c r="L9" s="8" t="s">
        <v>36</v>
      </c>
      <c r="M9" s="9"/>
      <c r="N9" s="9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 spans="1:31" x14ac:dyDescent="0.25">
      <c r="A10" s="7">
        <v>1.7</v>
      </c>
      <c r="B10" s="8" t="s">
        <v>43</v>
      </c>
      <c r="C10" s="8"/>
      <c r="D10" s="8" t="s">
        <v>44</v>
      </c>
      <c r="E10" s="8" t="s">
        <v>45</v>
      </c>
      <c r="F10" s="7" t="s">
        <v>18</v>
      </c>
      <c r="G10" s="7" t="s">
        <v>46</v>
      </c>
      <c r="H10" s="8" t="s">
        <v>19</v>
      </c>
      <c r="I10" s="8">
        <v>0</v>
      </c>
      <c r="J10" s="8">
        <v>99</v>
      </c>
      <c r="K10" s="9"/>
      <c r="L10" s="9"/>
      <c r="M10" s="9"/>
      <c r="N10" s="9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 spans="1:31" x14ac:dyDescent="0.25">
      <c r="A11" s="7">
        <v>1.8</v>
      </c>
      <c r="B11" s="8" t="s">
        <v>47</v>
      </c>
      <c r="C11" s="8"/>
      <c r="D11" s="8" t="s">
        <v>48</v>
      </c>
      <c r="E11" s="8" t="s">
        <v>49</v>
      </c>
      <c r="F11" s="7" t="s">
        <v>26</v>
      </c>
      <c r="G11" s="9"/>
      <c r="H11" s="8" t="s">
        <v>19</v>
      </c>
      <c r="I11" s="9"/>
      <c r="J11" s="9"/>
      <c r="K11" s="9"/>
      <c r="L11" s="8" t="s">
        <v>50</v>
      </c>
      <c r="M11" s="8" t="s">
        <v>51</v>
      </c>
      <c r="N11" s="9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 spans="1:31" x14ac:dyDescent="0.25">
      <c r="A12" s="7">
        <v>1.9</v>
      </c>
      <c r="B12" s="8" t="s">
        <v>52</v>
      </c>
      <c r="C12" s="8"/>
      <c r="D12" s="8" t="s">
        <v>53</v>
      </c>
      <c r="E12" s="8" t="s">
        <v>54</v>
      </c>
      <c r="F12" s="7" t="s">
        <v>26</v>
      </c>
      <c r="G12" s="9"/>
      <c r="H12" s="8" t="s">
        <v>19</v>
      </c>
      <c r="I12" s="9"/>
      <c r="J12" s="9"/>
      <c r="K12" s="9"/>
      <c r="L12" s="8" t="s">
        <v>55</v>
      </c>
      <c r="M12" s="8" t="s">
        <v>56</v>
      </c>
      <c r="N12" s="9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 spans="1:31" x14ac:dyDescent="0.25">
      <c r="A13" s="7" t="s">
        <v>57</v>
      </c>
      <c r="B13" s="8" t="s">
        <v>58</v>
      </c>
      <c r="C13" s="8"/>
      <c r="D13" s="8" t="s">
        <v>59</v>
      </c>
      <c r="E13" s="8" t="s">
        <v>60</v>
      </c>
      <c r="F13" s="7" t="s">
        <v>26</v>
      </c>
      <c r="G13" s="9"/>
      <c r="H13" s="8" t="s">
        <v>19</v>
      </c>
      <c r="I13" s="9"/>
      <c r="J13" s="9"/>
      <c r="K13" s="9"/>
      <c r="L13" s="8" t="s">
        <v>61</v>
      </c>
      <c r="M13" s="8" t="s">
        <v>62</v>
      </c>
      <c r="N13" s="9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 spans="1:31" x14ac:dyDescent="0.25">
      <c r="A14" s="7">
        <v>1.1100000000000001</v>
      </c>
      <c r="B14" s="8" t="s">
        <v>63</v>
      </c>
      <c r="C14" s="8"/>
      <c r="D14" s="8" t="s">
        <v>64</v>
      </c>
      <c r="E14" s="8" t="s">
        <v>65</v>
      </c>
      <c r="F14" s="7" t="s">
        <v>26</v>
      </c>
      <c r="G14" s="9"/>
      <c r="H14" s="8" t="s">
        <v>19</v>
      </c>
      <c r="I14" s="9"/>
      <c r="J14" s="9"/>
      <c r="K14" s="9"/>
      <c r="L14" s="8" t="s">
        <v>66</v>
      </c>
      <c r="M14" s="8" t="s">
        <v>67</v>
      </c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 spans="1:31" x14ac:dyDescent="0.25">
      <c r="A15" s="7" t="s">
        <v>68</v>
      </c>
      <c r="B15" s="8" t="s">
        <v>69</v>
      </c>
      <c r="C15" s="8"/>
      <c r="D15" s="8" t="s">
        <v>70</v>
      </c>
      <c r="E15" s="8" t="s">
        <v>71</v>
      </c>
      <c r="F15" s="7" t="s">
        <v>18</v>
      </c>
      <c r="G15" s="9"/>
      <c r="H15" s="9"/>
      <c r="I15" s="9"/>
      <c r="J15" s="9"/>
      <c r="K15" s="8" t="s">
        <v>72</v>
      </c>
      <c r="L15" s="9"/>
      <c r="M15" s="9"/>
      <c r="N15" s="8" t="s">
        <v>73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spans="1:31" x14ac:dyDescent="0.25">
      <c r="A16" s="7">
        <v>1.1200000000000001</v>
      </c>
      <c r="B16" s="8" t="s">
        <v>74</v>
      </c>
      <c r="C16" s="8"/>
      <c r="D16" s="8" t="s">
        <v>75</v>
      </c>
      <c r="E16" s="8" t="s">
        <v>76</v>
      </c>
      <c r="F16" s="7" t="s">
        <v>77</v>
      </c>
      <c r="G16" s="9"/>
      <c r="H16" s="8" t="s">
        <v>19</v>
      </c>
      <c r="I16" s="9"/>
      <c r="J16" s="9"/>
      <c r="K16" s="9"/>
      <c r="L16" s="8" t="s">
        <v>78</v>
      </c>
      <c r="M16" s="8" t="s">
        <v>79</v>
      </c>
      <c r="N16" s="9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1:31" x14ac:dyDescent="0.25">
      <c r="A17" s="4">
        <v>1.1299999999999999</v>
      </c>
      <c r="B17" s="5"/>
      <c r="C17" s="6"/>
      <c r="D17" s="6" t="s">
        <v>80</v>
      </c>
      <c r="E17" s="6" t="s">
        <v>81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</row>
    <row r="18" spans="1:31" x14ac:dyDescent="0.25">
      <c r="A18" s="12">
        <v>1.1299999999999999</v>
      </c>
      <c r="B18" s="3"/>
      <c r="C18" s="2"/>
      <c r="D18" s="2" t="s">
        <v>82</v>
      </c>
      <c r="E18" s="2" t="s">
        <v>83</v>
      </c>
      <c r="F18" s="1" t="s">
        <v>84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spans="1:31" x14ac:dyDescent="0.25">
      <c r="A19" s="7" t="s">
        <v>85</v>
      </c>
      <c r="B19" s="8" t="s">
        <v>86</v>
      </c>
      <c r="C19" s="8"/>
      <c r="D19" s="8" t="s">
        <v>87</v>
      </c>
      <c r="E19" s="9"/>
      <c r="F19" s="7" t="s">
        <v>18</v>
      </c>
      <c r="G19" s="13" t="s">
        <v>46</v>
      </c>
      <c r="H19" s="8" t="s">
        <v>19</v>
      </c>
      <c r="I19" s="8">
        <v>0</v>
      </c>
      <c r="J19" s="8">
        <v>10</v>
      </c>
      <c r="K19" s="9"/>
      <c r="L19" s="9"/>
      <c r="M19" s="9"/>
      <c r="N19" s="9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1:31" x14ac:dyDescent="0.25">
      <c r="A20" s="7" t="s">
        <v>88</v>
      </c>
      <c r="B20" s="8" t="s">
        <v>89</v>
      </c>
      <c r="C20" s="8"/>
      <c r="D20" s="8" t="s">
        <v>90</v>
      </c>
      <c r="E20" s="9"/>
      <c r="F20" s="7" t="s">
        <v>18</v>
      </c>
      <c r="G20" s="13" t="s">
        <v>46</v>
      </c>
      <c r="H20" s="8" t="s">
        <v>19</v>
      </c>
      <c r="I20" s="8">
        <v>0</v>
      </c>
      <c r="J20" s="8">
        <v>10</v>
      </c>
      <c r="K20" s="9"/>
      <c r="L20" s="9"/>
      <c r="M20" s="9"/>
      <c r="N20" s="9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 spans="1:31" x14ac:dyDescent="0.25">
      <c r="A21" s="7" t="s">
        <v>91</v>
      </c>
      <c r="B21" s="8" t="s">
        <v>92</v>
      </c>
      <c r="C21" s="8"/>
      <c r="D21" s="8" t="s">
        <v>93</v>
      </c>
      <c r="E21" s="9"/>
      <c r="F21" s="7" t="s">
        <v>18</v>
      </c>
      <c r="G21" s="13" t="s">
        <v>46</v>
      </c>
      <c r="H21" s="8" t="s">
        <v>19</v>
      </c>
      <c r="I21" s="8">
        <v>0</v>
      </c>
      <c r="J21" s="8">
        <v>10</v>
      </c>
      <c r="K21" s="9"/>
      <c r="L21" s="9"/>
      <c r="M21" s="9"/>
      <c r="N21" s="9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 spans="1:31" x14ac:dyDescent="0.25">
      <c r="A22" s="12">
        <v>1.1399999999999999</v>
      </c>
      <c r="B22" s="3"/>
      <c r="C22" s="2"/>
      <c r="D22" s="2" t="s">
        <v>94</v>
      </c>
      <c r="E22" s="2" t="s">
        <v>95</v>
      </c>
      <c r="F22" s="1" t="s">
        <v>96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spans="1:31" x14ac:dyDescent="0.25">
      <c r="A23" s="7" t="s">
        <v>97</v>
      </c>
      <c r="B23" s="8" t="s">
        <v>98</v>
      </c>
      <c r="C23" s="8"/>
      <c r="D23" s="8" t="s">
        <v>99</v>
      </c>
      <c r="E23" s="9"/>
      <c r="F23" s="7" t="s">
        <v>18</v>
      </c>
      <c r="G23" s="13" t="s">
        <v>46</v>
      </c>
      <c r="H23" s="8" t="s">
        <v>19</v>
      </c>
      <c r="I23" s="8">
        <v>0</v>
      </c>
      <c r="J23" s="8">
        <v>10</v>
      </c>
      <c r="K23" s="9"/>
      <c r="L23" s="9"/>
      <c r="M23" s="9"/>
      <c r="N23" s="9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spans="1:31" x14ac:dyDescent="0.25">
      <c r="A24" s="7" t="s">
        <v>100</v>
      </c>
      <c r="B24" s="8" t="s">
        <v>101</v>
      </c>
      <c r="C24" s="8"/>
      <c r="D24" s="8" t="s">
        <v>102</v>
      </c>
      <c r="E24" s="9"/>
      <c r="F24" s="7" t="s">
        <v>18</v>
      </c>
      <c r="G24" s="13" t="s">
        <v>46</v>
      </c>
      <c r="H24" s="8" t="s">
        <v>19</v>
      </c>
      <c r="I24" s="8">
        <v>0</v>
      </c>
      <c r="J24" s="8">
        <v>10</v>
      </c>
      <c r="K24" s="9"/>
      <c r="L24" s="9"/>
      <c r="M24" s="9"/>
      <c r="N24" s="9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spans="1:31" x14ac:dyDescent="0.25">
      <c r="A25" s="7" t="s">
        <v>103</v>
      </c>
      <c r="B25" s="8" t="s">
        <v>104</v>
      </c>
      <c r="C25" s="8"/>
      <c r="D25" s="8" t="s">
        <v>93</v>
      </c>
      <c r="E25" s="9"/>
      <c r="F25" s="7" t="s">
        <v>18</v>
      </c>
      <c r="G25" s="13" t="s">
        <v>46</v>
      </c>
      <c r="H25" s="8" t="s">
        <v>19</v>
      </c>
      <c r="I25" s="8">
        <v>0</v>
      </c>
      <c r="J25" s="8">
        <v>10</v>
      </c>
      <c r="K25" s="9"/>
      <c r="L25" s="9"/>
      <c r="M25" s="9"/>
      <c r="N25" s="9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1:31" x14ac:dyDescent="0.25">
      <c r="A26" s="7">
        <v>1.1499999999999999</v>
      </c>
      <c r="B26" s="8" t="s">
        <v>105</v>
      </c>
      <c r="C26" s="8"/>
      <c r="D26" s="8" t="s">
        <v>106</v>
      </c>
      <c r="E26" s="9"/>
      <c r="F26" s="7" t="s">
        <v>26</v>
      </c>
      <c r="G26" s="9"/>
      <c r="H26" s="8" t="s">
        <v>19</v>
      </c>
      <c r="I26" s="9"/>
      <c r="J26" s="9"/>
      <c r="K26" s="9"/>
      <c r="L26" s="8" t="s">
        <v>107</v>
      </c>
      <c r="M26" s="8" t="s">
        <v>108</v>
      </c>
      <c r="N26" s="9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1:31" x14ac:dyDescent="0.25">
      <c r="A27" s="7" t="s">
        <v>109</v>
      </c>
      <c r="B27" s="8" t="s">
        <v>110</v>
      </c>
      <c r="C27" s="8"/>
      <c r="D27" s="8" t="s">
        <v>111</v>
      </c>
      <c r="E27" s="9"/>
      <c r="F27" s="7" t="s">
        <v>18</v>
      </c>
      <c r="G27" s="9"/>
      <c r="H27" s="8" t="s">
        <v>19</v>
      </c>
      <c r="I27" s="9"/>
      <c r="J27" s="9"/>
      <c r="K27" s="8" t="s">
        <v>112</v>
      </c>
      <c r="L27" s="9"/>
      <c r="M27" s="9"/>
      <c r="N27" s="8" t="s">
        <v>113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1:31" x14ac:dyDescent="0.25">
      <c r="A28" s="4">
        <v>2</v>
      </c>
      <c r="B28" s="5"/>
      <c r="C28" s="6"/>
      <c r="D28" s="6" t="s">
        <v>114</v>
      </c>
      <c r="E28" s="6" t="s">
        <v>115</v>
      </c>
      <c r="F28" s="14" t="s">
        <v>96</v>
      </c>
      <c r="G28" s="5"/>
      <c r="H28" s="6" t="str">
        <f>CONCATENATE(A28, " ", D28, " ", B28)</f>
        <v xml:space="preserve">2 Land Use Details </v>
      </c>
      <c r="I28" s="5"/>
      <c r="J28" s="5"/>
      <c r="K28" s="5"/>
      <c r="L28" s="5"/>
      <c r="M28" s="5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1:31" x14ac:dyDescent="0.25">
      <c r="A29" s="7">
        <v>2</v>
      </c>
      <c r="B29" s="8" t="s">
        <v>116</v>
      </c>
      <c r="C29" s="15"/>
      <c r="D29" s="15" t="s">
        <v>114</v>
      </c>
      <c r="E29" s="15" t="s">
        <v>115</v>
      </c>
      <c r="F29" s="7" t="s">
        <v>26</v>
      </c>
      <c r="G29" s="9"/>
      <c r="H29" s="8" t="s">
        <v>19</v>
      </c>
      <c r="I29" s="9"/>
      <c r="J29" s="9"/>
      <c r="K29" s="9"/>
      <c r="L29" s="8" t="s">
        <v>117</v>
      </c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 x14ac:dyDescent="0.25">
      <c r="A30" s="16" t="s">
        <v>118</v>
      </c>
      <c r="B30" s="17"/>
      <c r="C30" s="18"/>
      <c r="D30" s="18" t="s">
        <v>119</v>
      </c>
      <c r="E30" s="18" t="s">
        <v>120</v>
      </c>
      <c r="F30" s="19" t="s">
        <v>96</v>
      </c>
      <c r="G30" s="17"/>
      <c r="H30" s="18" t="str">
        <f t="shared" ref="H30:H52" si="0">CONCATENATE(A30, " ", D30, " ", B30)</f>
        <v xml:space="preserve">(A) 2. Own Land </v>
      </c>
      <c r="I30" s="17"/>
      <c r="J30" s="17"/>
      <c r="K30" s="20" t="s">
        <v>121</v>
      </c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 spans="1:31" x14ac:dyDescent="0.25">
      <c r="A31" s="12" t="s">
        <v>118</v>
      </c>
      <c r="B31" s="2" t="s">
        <v>122</v>
      </c>
      <c r="C31" s="2"/>
      <c r="D31" s="2" t="s">
        <v>119</v>
      </c>
      <c r="E31" s="2" t="s">
        <v>120</v>
      </c>
      <c r="F31" s="1" t="s">
        <v>123</v>
      </c>
      <c r="G31" s="3"/>
      <c r="H31" s="2" t="str">
        <f t="shared" si="0"/>
        <v>(A) 2. Own Land landusedetails_ownland</v>
      </c>
      <c r="I31" s="3"/>
      <c r="J31" s="3"/>
      <c r="K31" s="21" t="s">
        <v>121</v>
      </c>
      <c r="L31" s="2" t="s">
        <v>124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spans="1:31" x14ac:dyDescent="0.25">
      <c r="A32" s="7" t="s">
        <v>125</v>
      </c>
      <c r="B32" s="8" t="s">
        <v>126</v>
      </c>
      <c r="C32" s="8"/>
      <c r="D32" s="8" t="s">
        <v>127</v>
      </c>
      <c r="E32" s="9"/>
      <c r="F32" s="7" t="s">
        <v>18</v>
      </c>
      <c r="G32" s="7" t="s">
        <v>128</v>
      </c>
      <c r="H32" s="8" t="str">
        <f t="shared" si="0"/>
        <v>(A) 2.1. Area (in Bigha) own_land_area</v>
      </c>
      <c r="I32" s="9"/>
      <c r="J32" s="9"/>
      <c r="K32" s="8" t="s">
        <v>129</v>
      </c>
      <c r="L32" s="9"/>
      <c r="M32" s="9"/>
      <c r="N32" s="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1:31" x14ac:dyDescent="0.25">
      <c r="A33" s="7" t="s">
        <v>130</v>
      </c>
      <c r="B33" s="8" t="s">
        <v>131</v>
      </c>
      <c r="C33" s="8"/>
      <c r="D33" s="8" t="s">
        <v>132</v>
      </c>
      <c r="E33" s="9"/>
      <c r="F33" s="7" t="s">
        <v>18</v>
      </c>
      <c r="G33" s="7" t="s">
        <v>128</v>
      </c>
      <c r="H33" s="8" t="str">
        <f t="shared" si="0"/>
        <v>(A) 2.2. Irrigated own_land_irrigated</v>
      </c>
      <c r="I33" s="9"/>
      <c r="J33" s="9"/>
      <c r="K33" s="8" t="s">
        <v>129</v>
      </c>
      <c r="L33" s="9"/>
      <c r="M33" s="9"/>
      <c r="N33" s="9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1:31" x14ac:dyDescent="0.25">
      <c r="A34" s="7" t="s">
        <v>133</v>
      </c>
      <c r="B34" s="8" t="s">
        <v>134</v>
      </c>
      <c r="C34" s="8"/>
      <c r="D34" s="8" t="s">
        <v>135</v>
      </c>
      <c r="E34" s="9"/>
      <c r="F34" s="7" t="s">
        <v>18</v>
      </c>
      <c r="G34" s="7" t="s">
        <v>128</v>
      </c>
      <c r="H34" s="8" t="str">
        <f t="shared" si="0"/>
        <v>(A) 2.3. Non-irrigated own_land_non_irrigated</v>
      </c>
      <c r="I34" s="9"/>
      <c r="J34" s="9"/>
      <c r="K34" s="8" t="s">
        <v>129</v>
      </c>
      <c r="L34" s="9"/>
      <c r="M34" s="9"/>
      <c r="N34" s="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1:31" x14ac:dyDescent="0.25">
      <c r="A35" s="7" t="s">
        <v>136</v>
      </c>
      <c r="B35" s="8" t="s">
        <v>137</v>
      </c>
      <c r="C35" s="8"/>
      <c r="D35" s="8" t="s">
        <v>138</v>
      </c>
      <c r="E35" s="8" t="s">
        <v>139</v>
      </c>
      <c r="F35" s="7" t="s">
        <v>26</v>
      </c>
      <c r="G35" s="9"/>
      <c r="H35" s="8" t="str">
        <f t="shared" si="0"/>
        <v>(A) 2.4. Source of Irrigation  own_land_irrigation_source</v>
      </c>
      <c r="I35" s="9"/>
      <c r="J35" s="9"/>
      <c r="K35" s="8" t="s">
        <v>129</v>
      </c>
      <c r="L35" s="8" t="s">
        <v>140</v>
      </c>
      <c r="M35" s="8" t="s">
        <v>141</v>
      </c>
      <c r="N35" s="9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1:31" x14ac:dyDescent="0.25">
      <c r="A36" s="16" t="s">
        <v>142</v>
      </c>
      <c r="B36" s="17"/>
      <c r="C36" s="18"/>
      <c r="D36" s="18" t="s">
        <v>143</v>
      </c>
      <c r="E36" s="18" t="s">
        <v>144</v>
      </c>
      <c r="F36" s="19" t="s">
        <v>96</v>
      </c>
      <c r="G36" s="17"/>
      <c r="H36" s="18" t="str">
        <f t="shared" si="0"/>
        <v xml:space="preserve">(B) 2. Leased Out </v>
      </c>
      <c r="I36" s="17"/>
      <c r="J36" s="17"/>
      <c r="K36" s="18" t="s">
        <v>121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 spans="1:31" x14ac:dyDescent="0.25">
      <c r="A37" s="12" t="s">
        <v>142</v>
      </c>
      <c r="B37" s="2" t="s">
        <v>145</v>
      </c>
      <c r="C37" s="2"/>
      <c r="D37" s="2" t="s">
        <v>143</v>
      </c>
      <c r="E37" s="2" t="s">
        <v>144</v>
      </c>
      <c r="F37" s="1" t="s">
        <v>123</v>
      </c>
      <c r="G37" s="3"/>
      <c r="H37" s="2" t="str">
        <f t="shared" si="0"/>
        <v>(B) 2. Leased Out landusedetails_leasedout</v>
      </c>
      <c r="I37" s="3"/>
      <c r="J37" s="3"/>
      <c r="K37" s="2" t="s">
        <v>121</v>
      </c>
      <c r="L37" s="2" t="s">
        <v>124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31" x14ac:dyDescent="0.25">
      <c r="A38" s="7" t="s">
        <v>146</v>
      </c>
      <c r="B38" s="8" t="s">
        <v>147</v>
      </c>
      <c r="C38" s="8"/>
      <c r="D38" s="8" t="s">
        <v>127</v>
      </c>
      <c r="E38" s="9"/>
      <c r="F38" s="7" t="s">
        <v>18</v>
      </c>
      <c r="G38" s="7" t="s">
        <v>128</v>
      </c>
      <c r="H38" s="8" t="str">
        <f t="shared" si="0"/>
        <v>(B) 2.1. Area (in Bigha) leased_out_area</v>
      </c>
      <c r="I38" s="9"/>
      <c r="J38" s="9"/>
      <c r="K38" s="8" t="s">
        <v>148</v>
      </c>
      <c r="L38" s="9"/>
      <c r="M38" s="9"/>
      <c r="N38" s="9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 spans="1:31" x14ac:dyDescent="0.25">
      <c r="A39" s="7" t="s">
        <v>149</v>
      </c>
      <c r="B39" s="8" t="s">
        <v>150</v>
      </c>
      <c r="C39" s="8"/>
      <c r="D39" s="8" t="s">
        <v>132</v>
      </c>
      <c r="E39" s="9"/>
      <c r="F39" s="7" t="s">
        <v>18</v>
      </c>
      <c r="G39" s="7" t="s">
        <v>128</v>
      </c>
      <c r="H39" s="8" t="str">
        <f t="shared" si="0"/>
        <v>(B) 2.2. Irrigated leased_out_irrigated</v>
      </c>
      <c r="I39" s="9"/>
      <c r="J39" s="9"/>
      <c r="K39" s="8" t="s">
        <v>148</v>
      </c>
      <c r="L39" s="9"/>
      <c r="M39" s="9"/>
      <c r="N39" s="9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 spans="1:31" x14ac:dyDescent="0.25">
      <c r="A40" s="7" t="s">
        <v>151</v>
      </c>
      <c r="B40" s="8" t="s">
        <v>152</v>
      </c>
      <c r="C40" s="8"/>
      <c r="D40" s="8" t="s">
        <v>135</v>
      </c>
      <c r="E40" s="9"/>
      <c r="F40" s="7" t="s">
        <v>18</v>
      </c>
      <c r="G40" s="7" t="s">
        <v>128</v>
      </c>
      <c r="H40" s="8" t="str">
        <f t="shared" si="0"/>
        <v>(B) 2.3. Non-irrigated leased_out_non_irrigated</v>
      </c>
      <c r="I40" s="9"/>
      <c r="J40" s="9"/>
      <c r="K40" s="8" t="s">
        <v>148</v>
      </c>
      <c r="L40" s="9"/>
      <c r="M40" s="9"/>
      <c r="N40" s="9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 spans="1:31" x14ac:dyDescent="0.25">
      <c r="A41" s="7" t="s">
        <v>153</v>
      </c>
      <c r="B41" s="8" t="s">
        <v>154</v>
      </c>
      <c r="C41" s="8"/>
      <c r="D41" s="8" t="s">
        <v>138</v>
      </c>
      <c r="E41" s="8" t="s">
        <v>139</v>
      </c>
      <c r="F41" s="7" t="s">
        <v>26</v>
      </c>
      <c r="G41" s="9"/>
      <c r="H41" s="8" t="str">
        <f t="shared" si="0"/>
        <v>(B) 2.4. Source of Irrigation  leased_out_irrigation_source</v>
      </c>
      <c r="I41" s="9"/>
      <c r="J41" s="9"/>
      <c r="K41" s="8" t="s">
        <v>148</v>
      </c>
      <c r="L41" s="8" t="s">
        <v>140</v>
      </c>
      <c r="M41" s="8" t="s">
        <v>155</v>
      </c>
      <c r="N41" s="9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 spans="1:31" x14ac:dyDescent="0.25">
      <c r="A42" s="16" t="s">
        <v>156</v>
      </c>
      <c r="B42" s="17"/>
      <c r="C42" s="18"/>
      <c r="D42" s="18" t="s">
        <v>157</v>
      </c>
      <c r="E42" s="18" t="s">
        <v>158</v>
      </c>
      <c r="F42" s="19" t="s">
        <v>96</v>
      </c>
      <c r="G42" s="17"/>
      <c r="H42" s="18" t="str">
        <f t="shared" si="0"/>
        <v xml:space="preserve">(C) 2. Leased in </v>
      </c>
      <c r="I42" s="17"/>
      <c r="J42" s="17"/>
      <c r="K42" s="18" t="s">
        <v>121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</row>
    <row r="43" spans="1:31" x14ac:dyDescent="0.25">
      <c r="A43" s="12" t="s">
        <v>156</v>
      </c>
      <c r="B43" s="2" t="s">
        <v>159</v>
      </c>
      <c r="C43" s="2"/>
      <c r="D43" s="2" t="s">
        <v>157</v>
      </c>
      <c r="E43" s="2" t="s">
        <v>158</v>
      </c>
      <c r="F43" s="1" t="s">
        <v>123</v>
      </c>
      <c r="G43" s="3"/>
      <c r="H43" s="2" t="str">
        <f t="shared" si="0"/>
        <v>(C) 2. Leased in landusedetails_leasedin</v>
      </c>
      <c r="I43" s="3"/>
      <c r="J43" s="3"/>
      <c r="K43" s="2" t="s">
        <v>121</v>
      </c>
      <c r="L43" s="2" t="s">
        <v>124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spans="1:31" x14ac:dyDescent="0.25">
      <c r="A44" s="7" t="s">
        <v>160</v>
      </c>
      <c r="B44" s="8" t="s">
        <v>161</v>
      </c>
      <c r="C44" s="8"/>
      <c r="D44" s="8" t="s">
        <v>127</v>
      </c>
      <c r="E44" s="9"/>
      <c r="F44" s="7" t="s">
        <v>18</v>
      </c>
      <c r="G44" s="7" t="s">
        <v>128</v>
      </c>
      <c r="H44" s="8" t="str">
        <f t="shared" si="0"/>
        <v>(C) 2.1. Area (in Bigha) leased_in_area</v>
      </c>
      <c r="I44" s="9"/>
      <c r="J44" s="9"/>
      <c r="K44" s="8" t="s">
        <v>162</v>
      </c>
      <c r="L44" s="9"/>
      <c r="M44" s="9"/>
      <c r="N44" s="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 spans="1:31" x14ac:dyDescent="0.25">
      <c r="A45" s="7" t="s">
        <v>163</v>
      </c>
      <c r="B45" s="8" t="s">
        <v>164</v>
      </c>
      <c r="C45" s="8"/>
      <c r="D45" s="8" t="s">
        <v>132</v>
      </c>
      <c r="E45" s="9"/>
      <c r="F45" s="7" t="s">
        <v>18</v>
      </c>
      <c r="G45" s="7" t="s">
        <v>128</v>
      </c>
      <c r="H45" s="8" t="str">
        <f t="shared" si="0"/>
        <v>(C) 2.2. Irrigated leased_in_irrigated</v>
      </c>
      <c r="I45" s="9"/>
      <c r="J45" s="9"/>
      <c r="K45" s="8" t="s">
        <v>162</v>
      </c>
      <c r="L45" s="9"/>
      <c r="M45" s="9"/>
      <c r="N45" s="9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 spans="1:31" x14ac:dyDescent="0.25">
      <c r="A46" s="7" t="s">
        <v>165</v>
      </c>
      <c r="B46" s="8" t="s">
        <v>166</v>
      </c>
      <c r="C46" s="8"/>
      <c r="D46" s="8" t="s">
        <v>135</v>
      </c>
      <c r="E46" s="9"/>
      <c r="F46" s="7" t="s">
        <v>18</v>
      </c>
      <c r="G46" s="7" t="s">
        <v>128</v>
      </c>
      <c r="H46" s="8" t="str">
        <f t="shared" si="0"/>
        <v>(C) 2.3. Non-irrigated leased_in_non_irrigated</v>
      </c>
      <c r="I46" s="9"/>
      <c r="J46" s="9"/>
      <c r="K46" s="8" t="s">
        <v>162</v>
      </c>
      <c r="L46" s="9"/>
      <c r="M46" s="9"/>
      <c r="N46" s="9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 spans="1:31" x14ac:dyDescent="0.25">
      <c r="A47" s="7" t="s">
        <v>167</v>
      </c>
      <c r="B47" s="8" t="s">
        <v>168</v>
      </c>
      <c r="C47" s="8"/>
      <c r="D47" s="8" t="s">
        <v>138</v>
      </c>
      <c r="E47" s="8" t="s">
        <v>139</v>
      </c>
      <c r="F47" s="7" t="s">
        <v>26</v>
      </c>
      <c r="G47" s="9"/>
      <c r="H47" s="8" t="str">
        <f t="shared" si="0"/>
        <v>(C) 2.4. Source of Irrigation  leased_in_irrigation_source</v>
      </c>
      <c r="I47" s="9"/>
      <c r="J47" s="9"/>
      <c r="K47" s="8" t="s">
        <v>162</v>
      </c>
      <c r="L47" s="8" t="s">
        <v>140</v>
      </c>
      <c r="M47" s="8" t="s">
        <v>155</v>
      </c>
      <c r="N47" s="9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 spans="1:31" x14ac:dyDescent="0.25">
      <c r="A48" s="16" t="s">
        <v>169</v>
      </c>
      <c r="B48" s="17"/>
      <c r="C48" s="18"/>
      <c r="D48" s="18" t="s">
        <v>170</v>
      </c>
      <c r="E48" s="18" t="s">
        <v>171</v>
      </c>
      <c r="F48" s="19" t="s">
        <v>96</v>
      </c>
      <c r="G48" s="17"/>
      <c r="H48" s="18" t="str">
        <f t="shared" si="0"/>
        <v xml:space="preserve">(D) 2. Fallow/Wasteland </v>
      </c>
      <c r="I48" s="17"/>
      <c r="J48" s="17"/>
      <c r="K48" s="18" t="s">
        <v>121</v>
      </c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</row>
    <row r="49" spans="1:31" x14ac:dyDescent="0.25">
      <c r="A49" s="12" t="s">
        <v>169</v>
      </c>
      <c r="B49" s="2" t="s">
        <v>172</v>
      </c>
      <c r="C49" s="2"/>
      <c r="D49" s="2" t="s">
        <v>170</v>
      </c>
      <c r="E49" s="2" t="s">
        <v>173</v>
      </c>
      <c r="F49" s="1" t="s">
        <v>123</v>
      </c>
      <c r="G49" s="3"/>
      <c r="H49" s="2" t="str">
        <f t="shared" si="0"/>
        <v>(D) 2. Fallow/Wasteland landusedetails_fallow</v>
      </c>
      <c r="I49" s="3"/>
      <c r="J49" s="3"/>
      <c r="K49" s="2" t="s">
        <v>121</v>
      </c>
      <c r="L49" s="2" t="s">
        <v>124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31" x14ac:dyDescent="0.25">
      <c r="A50" s="7" t="s">
        <v>174</v>
      </c>
      <c r="B50" s="8" t="s">
        <v>175</v>
      </c>
      <c r="C50" s="8"/>
      <c r="D50" s="8" t="s">
        <v>127</v>
      </c>
      <c r="E50" s="9"/>
      <c r="F50" s="7" t="s">
        <v>18</v>
      </c>
      <c r="G50" s="7" t="s">
        <v>128</v>
      </c>
      <c r="H50" s="8" t="str">
        <f t="shared" si="0"/>
        <v>(D) 2.1. Area (in Bigha) fallow_wasteland_area</v>
      </c>
      <c r="I50" s="9"/>
      <c r="J50" s="9"/>
      <c r="K50" s="8" t="s">
        <v>176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1:31" x14ac:dyDescent="0.25">
      <c r="A51" s="7" t="s">
        <v>177</v>
      </c>
      <c r="B51" s="8" t="s">
        <v>178</v>
      </c>
      <c r="C51" s="8"/>
      <c r="D51" s="8" t="s">
        <v>132</v>
      </c>
      <c r="E51" s="9"/>
      <c r="F51" s="7" t="s">
        <v>18</v>
      </c>
      <c r="G51" s="7" t="s">
        <v>128</v>
      </c>
      <c r="H51" s="8" t="str">
        <f t="shared" si="0"/>
        <v>(D) 2.2. Irrigated fallow_wasteland_irrigated</v>
      </c>
      <c r="I51" s="9"/>
      <c r="J51" s="9"/>
      <c r="K51" s="8" t="s">
        <v>176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1:31" x14ac:dyDescent="0.25">
      <c r="A52" s="7" t="s">
        <v>179</v>
      </c>
      <c r="B52" s="8" t="s">
        <v>180</v>
      </c>
      <c r="C52" s="8"/>
      <c r="D52" s="8" t="s">
        <v>135</v>
      </c>
      <c r="E52" s="9"/>
      <c r="F52" s="7" t="s">
        <v>18</v>
      </c>
      <c r="G52" s="7" t="s">
        <v>128</v>
      </c>
      <c r="H52" s="8" t="str">
        <f t="shared" si="0"/>
        <v>(D) 2.3. Non-irrigated fallow_wasteland_non_irrigated</v>
      </c>
      <c r="I52" s="9"/>
      <c r="J52" s="9"/>
      <c r="K52" s="8" t="s">
        <v>176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1:31" x14ac:dyDescent="0.25">
      <c r="A53" s="4" t="s">
        <v>181</v>
      </c>
      <c r="B53" s="5"/>
      <c r="C53" s="6"/>
      <c r="D53" s="6" t="s">
        <v>182</v>
      </c>
      <c r="E53" s="6" t="s">
        <v>183</v>
      </c>
      <c r="F53" s="14" t="s">
        <v>184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</row>
    <row r="54" spans="1:31" x14ac:dyDescent="0.25">
      <c r="A54" s="7" t="s">
        <v>185</v>
      </c>
      <c r="B54" s="9"/>
      <c r="C54" s="8"/>
      <c r="D54" s="8" t="s">
        <v>186</v>
      </c>
      <c r="E54" s="8" t="s">
        <v>187</v>
      </c>
      <c r="F54" s="7" t="s">
        <v>96</v>
      </c>
      <c r="G54" s="9"/>
      <c r="H54" s="8" t="str">
        <f t="shared" ref="H54:H65" si="1">CONCATENATE(A54, " ", D54, " ", B54)</f>
        <v xml:space="preserve">2.1. How much rent did you take for the land you leased Out? (in Rs) </v>
      </c>
      <c r="I54" s="9"/>
      <c r="J54" s="9"/>
      <c r="K54" s="9"/>
      <c r="L54" s="9"/>
      <c r="M54" s="9"/>
      <c r="N54" s="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 spans="1:31" x14ac:dyDescent="0.25">
      <c r="A55" s="7" t="s">
        <v>188</v>
      </c>
      <c r="B55" s="8" t="s">
        <v>189</v>
      </c>
      <c r="C55" s="8"/>
      <c r="D55" s="8" t="s">
        <v>190</v>
      </c>
      <c r="E55" s="8" t="s">
        <v>191</v>
      </c>
      <c r="F55" s="7" t="s">
        <v>18</v>
      </c>
      <c r="G55" s="7" t="s">
        <v>128</v>
      </c>
      <c r="H55" s="8" t="str">
        <f t="shared" si="1"/>
        <v>2.1.1. Land Rent (in Rs) leased_out_rent</v>
      </c>
      <c r="I55" s="9"/>
      <c r="J55" s="9"/>
      <c r="K55" s="9"/>
      <c r="L55" s="9"/>
      <c r="M55" s="9"/>
      <c r="N55" s="9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 spans="1:31" x14ac:dyDescent="0.25">
      <c r="A56" s="7" t="s">
        <v>192</v>
      </c>
      <c r="B56" s="9"/>
      <c r="C56" s="8"/>
      <c r="D56" s="8" t="s">
        <v>193</v>
      </c>
      <c r="E56" s="8" t="s">
        <v>194</v>
      </c>
      <c r="F56" s="7" t="s">
        <v>96</v>
      </c>
      <c r="G56" s="9"/>
      <c r="H56" s="8" t="str">
        <f t="shared" si="1"/>
        <v xml:space="preserve">2.2. How much rent did you pay for the land you leased in? (in Rs) </v>
      </c>
      <c r="I56" s="9"/>
      <c r="J56" s="9"/>
      <c r="K56" s="9"/>
      <c r="L56" s="9"/>
      <c r="M56" s="9"/>
      <c r="N56" s="9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 spans="1:31" x14ac:dyDescent="0.25">
      <c r="A57" s="7" t="s">
        <v>195</v>
      </c>
      <c r="B57" s="8" t="s">
        <v>196</v>
      </c>
      <c r="C57" s="8"/>
      <c r="D57" s="8" t="s">
        <v>190</v>
      </c>
      <c r="E57" s="8" t="s">
        <v>191</v>
      </c>
      <c r="F57" s="7" t="s">
        <v>18</v>
      </c>
      <c r="G57" s="7" t="s">
        <v>128</v>
      </c>
      <c r="H57" s="8" t="str">
        <f t="shared" si="1"/>
        <v>2.2.1. Land Rent (in Rs) leased_in_rent</v>
      </c>
      <c r="I57" s="9"/>
      <c r="J57" s="9"/>
      <c r="K57" s="9"/>
      <c r="L57" s="9"/>
      <c r="M57" s="9"/>
      <c r="N57" s="9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 spans="1:31" x14ac:dyDescent="0.25">
      <c r="A58" s="7" t="s">
        <v>197</v>
      </c>
      <c r="B58" s="9"/>
      <c r="C58" s="8"/>
      <c r="D58" s="8" t="s">
        <v>198</v>
      </c>
      <c r="E58" s="8" t="s">
        <v>199</v>
      </c>
      <c r="F58" s="7" t="s">
        <v>96</v>
      </c>
      <c r="G58" s="9"/>
      <c r="H58" s="8" t="str">
        <f t="shared" si="1"/>
        <v xml:space="preserve">2.3. How many ‘Bighas’ are there in one ‘Acre’ here? </v>
      </c>
      <c r="I58" s="9"/>
      <c r="J58" s="9"/>
      <c r="K58" s="9"/>
      <c r="L58" s="9"/>
      <c r="M58" s="9"/>
      <c r="N58" s="9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 spans="1:31" x14ac:dyDescent="0.25">
      <c r="A59" s="7" t="s">
        <v>200</v>
      </c>
      <c r="B59" s="8" t="s">
        <v>201</v>
      </c>
      <c r="C59" s="8"/>
      <c r="D59" s="8" t="s">
        <v>202</v>
      </c>
      <c r="E59" s="9"/>
      <c r="F59" s="7" t="s">
        <v>18</v>
      </c>
      <c r="G59" s="7" t="s">
        <v>128</v>
      </c>
      <c r="H59" s="8" t="str">
        <f t="shared" si="1"/>
        <v>2.3.1. Total Bighas acre_in_biga</v>
      </c>
      <c r="I59" s="9"/>
      <c r="J59" s="9"/>
      <c r="K59" s="9"/>
      <c r="L59" s="9"/>
      <c r="M59" s="9"/>
      <c r="N59" s="9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 spans="1:31" x14ac:dyDescent="0.25">
      <c r="A60" s="4">
        <v>3</v>
      </c>
      <c r="B60" s="5"/>
      <c r="C60" s="6"/>
      <c r="D60" s="6" t="s">
        <v>203</v>
      </c>
      <c r="E60" s="5"/>
      <c r="F60" s="14" t="s">
        <v>184</v>
      </c>
      <c r="G60" s="5"/>
      <c r="H60" s="6" t="str">
        <f t="shared" si="1"/>
        <v xml:space="preserve">3 Beekeeping Starting </v>
      </c>
      <c r="I60" s="5"/>
      <c r="J60" s="5"/>
      <c r="K60" s="5"/>
      <c r="L60" s="5"/>
      <c r="M60" s="5"/>
      <c r="N60" s="5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 spans="1:31" x14ac:dyDescent="0.25">
      <c r="A61" s="12">
        <v>3</v>
      </c>
      <c r="B61" s="3"/>
      <c r="C61" s="2"/>
      <c r="D61" s="2" t="s">
        <v>204</v>
      </c>
      <c r="E61" s="2" t="s">
        <v>205</v>
      </c>
      <c r="F61" s="1" t="s">
        <v>96</v>
      </c>
      <c r="G61" s="3"/>
      <c r="H61" s="2" t="str">
        <f t="shared" si="1"/>
        <v xml:space="preserve">3 When did you start Beekeeping? 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spans="1:31" x14ac:dyDescent="0.25">
      <c r="A62" s="7">
        <v>3</v>
      </c>
      <c r="B62" s="8" t="s">
        <v>206</v>
      </c>
      <c r="C62" s="8"/>
      <c r="D62" s="8" t="s">
        <v>207</v>
      </c>
      <c r="E62" s="9"/>
      <c r="F62" s="7" t="s">
        <v>18</v>
      </c>
      <c r="G62" s="7" t="s">
        <v>128</v>
      </c>
      <c r="H62" s="8" t="str">
        <f t="shared" si="1"/>
        <v>3 Year beekeeping_start_year</v>
      </c>
      <c r="I62" s="9"/>
      <c r="J62" s="9"/>
      <c r="K62" s="9"/>
      <c r="L62" s="9"/>
      <c r="M62" s="9"/>
      <c r="N62" s="9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 spans="1:31" x14ac:dyDescent="0.25">
      <c r="A63" s="12">
        <v>3.1</v>
      </c>
      <c r="B63" s="3"/>
      <c r="C63" s="2"/>
      <c r="D63" s="2" t="s">
        <v>208</v>
      </c>
      <c r="E63" s="2" t="s">
        <v>209</v>
      </c>
      <c r="F63" s="1" t="s">
        <v>96</v>
      </c>
      <c r="G63" s="3"/>
      <c r="H63" s="2" t="str">
        <f t="shared" si="1"/>
        <v xml:space="preserve">3.1 How many colonies of beekeeping production do you currently have? 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31" x14ac:dyDescent="0.25">
      <c r="A64" s="7">
        <v>3.1</v>
      </c>
      <c r="B64" s="8" t="s">
        <v>210</v>
      </c>
      <c r="C64" s="8"/>
      <c r="D64" s="8" t="s">
        <v>211</v>
      </c>
      <c r="E64" s="9"/>
      <c r="F64" s="7" t="s">
        <v>18</v>
      </c>
      <c r="G64" s="7" t="s">
        <v>128</v>
      </c>
      <c r="H64" s="8" t="str">
        <f t="shared" si="1"/>
        <v>3.1 Number colonies_number</v>
      </c>
      <c r="I64" s="9"/>
      <c r="J64" s="9"/>
      <c r="K64" s="9"/>
      <c r="L64" s="9"/>
      <c r="M64" s="9"/>
      <c r="N64" s="9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 spans="1:31" x14ac:dyDescent="0.25">
      <c r="A65" s="7">
        <v>3.2</v>
      </c>
      <c r="B65" s="8" t="s">
        <v>212</v>
      </c>
      <c r="C65" s="8"/>
      <c r="D65" s="8" t="s">
        <v>213</v>
      </c>
      <c r="E65" s="8" t="s">
        <v>214</v>
      </c>
      <c r="F65" s="7" t="s">
        <v>18</v>
      </c>
      <c r="G65" s="7" t="s">
        <v>128</v>
      </c>
      <c r="H65" s="8" t="str">
        <f t="shared" si="1"/>
        <v>3.2 How much behieves in one box beheives_in_box</v>
      </c>
      <c r="I65" s="9"/>
      <c r="J65" s="9"/>
      <c r="K65" s="9"/>
      <c r="L65" s="9"/>
      <c r="M65" s="9"/>
      <c r="N65" s="9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spans="1:31" x14ac:dyDescent="0.25">
      <c r="A66" s="7">
        <v>3.3</v>
      </c>
      <c r="B66" s="22" t="s">
        <v>215</v>
      </c>
      <c r="C66" s="8"/>
      <c r="D66" s="8" t="s">
        <v>216</v>
      </c>
      <c r="E66" s="8" t="s">
        <v>217</v>
      </c>
      <c r="F66" s="7" t="s">
        <v>18</v>
      </c>
      <c r="G66" s="9"/>
      <c r="H66" s="22" t="s">
        <v>218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1:31" x14ac:dyDescent="0.25">
      <c r="A67" s="7">
        <v>3.4</v>
      </c>
      <c r="B67" s="22" t="s">
        <v>219</v>
      </c>
      <c r="C67" s="22"/>
      <c r="D67" s="22" t="s">
        <v>220</v>
      </c>
      <c r="E67" s="22" t="s">
        <v>221</v>
      </c>
      <c r="F67" s="7" t="s">
        <v>18</v>
      </c>
      <c r="G67" s="9"/>
      <c r="H67" s="22" t="s">
        <v>222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1:31" x14ac:dyDescent="0.25">
      <c r="A68" s="12">
        <v>4</v>
      </c>
      <c r="B68" s="3"/>
      <c r="C68" s="2"/>
      <c r="D68" s="2" t="s">
        <v>223</v>
      </c>
      <c r="E68" s="2" t="s">
        <v>224</v>
      </c>
      <c r="F68" s="1" t="s">
        <v>96</v>
      </c>
      <c r="G68" s="3"/>
      <c r="H68" s="2" t="str">
        <f t="shared" ref="H68:H171" si="2">CONCATENATE(A68, " ", D68, " ", B68)</f>
        <v xml:space="preserve">4 How did you start Beekeeping? 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spans="1:31" x14ac:dyDescent="0.25">
      <c r="A69" s="7">
        <v>4</v>
      </c>
      <c r="B69" s="8" t="s">
        <v>225</v>
      </c>
      <c r="C69" s="8"/>
      <c r="D69" s="8" t="s">
        <v>223</v>
      </c>
      <c r="E69" s="8" t="s">
        <v>224</v>
      </c>
      <c r="F69" s="7" t="s">
        <v>226</v>
      </c>
      <c r="G69" s="9"/>
      <c r="H69" s="8" t="str">
        <f t="shared" si="2"/>
        <v>4 How did you start Beekeeping? start_medium</v>
      </c>
      <c r="I69" s="9"/>
      <c r="J69" s="9"/>
      <c r="K69" s="9"/>
      <c r="L69" s="8" t="s">
        <v>227</v>
      </c>
      <c r="M69" s="8" t="s">
        <v>228</v>
      </c>
      <c r="N69" s="9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spans="1:31" x14ac:dyDescent="0.25">
      <c r="A70" s="7">
        <v>4.0999999999999996</v>
      </c>
      <c r="B70" s="8" t="s">
        <v>229</v>
      </c>
      <c r="C70" s="8"/>
      <c r="D70" s="8" t="s">
        <v>230</v>
      </c>
      <c r="E70" s="9"/>
      <c r="F70" s="7" t="s">
        <v>18</v>
      </c>
      <c r="G70" s="9"/>
      <c r="H70" s="8" t="str">
        <f t="shared" si="2"/>
        <v>4.1 Any Other other_medium</v>
      </c>
      <c r="I70" s="9"/>
      <c r="J70" s="9"/>
      <c r="K70" s="8" t="s">
        <v>231</v>
      </c>
      <c r="L70" s="9"/>
      <c r="M70" s="9"/>
      <c r="N70" s="9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 spans="1:31" x14ac:dyDescent="0.25">
      <c r="A71" s="12">
        <v>5</v>
      </c>
      <c r="B71" s="3"/>
      <c r="C71" s="2"/>
      <c r="D71" s="2" t="s">
        <v>232</v>
      </c>
      <c r="E71" s="2" t="s">
        <v>233</v>
      </c>
      <c r="F71" s="1" t="s">
        <v>96</v>
      </c>
      <c r="G71" s="3"/>
      <c r="H71" s="2" t="str">
        <f t="shared" si="2"/>
        <v xml:space="preserve">5 What is the total cost of Colony? (In Rupees) 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spans="1:31" x14ac:dyDescent="0.25">
      <c r="A72" s="23">
        <v>5.0999999999999996</v>
      </c>
      <c r="B72" s="8" t="s">
        <v>234</v>
      </c>
      <c r="C72" s="8"/>
      <c r="D72" s="8" t="s">
        <v>235</v>
      </c>
      <c r="E72" s="9"/>
      <c r="F72" s="7" t="s">
        <v>236</v>
      </c>
      <c r="G72" s="7" t="s">
        <v>128</v>
      </c>
      <c r="H72" s="8" t="str">
        <f t="shared" si="2"/>
        <v>5.1 Colonies Total Cost colonies_total_cost</v>
      </c>
      <c r="I72" s="9"/>
      <c r="J72" s="9"/>
      <c r="K72" s="9"/>
      <c r="L72" s="9"/>
      <c r="M72" s="9"/>
      <c r="N72" s="9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 spans="1:31" x14ac:dyDescent="0.25">
      <c r="A73" s="4">
        <v>6</v>
      </c>
      <c r="B73" s="5"/>
      <c r="C73" s="6"/>
      <c r="D73" s="6" t="s">
        <v>237</v>
      </c>
      <c r="E73" s="6" t="s">
        <v>238</v>
      </c>
      <c r="F73" s="14" t="s">
        <v>184</v>
      </c>
      <c r="G73" s="5"/>
      <c r="H73" s="6" t="str">
        <f t="shared" si="2"/>
        <v xml:space="preserve">6 How many Bee Colonies do you have and how much are their value? 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</row>
    <row r="74" spans="1:31" x14ac:dyDescent="0.25">
      <c r="A74" s="12" t="s">
        <v>239</v>
      </c>
      <c r="B74" s="3"/>
      <c r="C74" s="2"/>
      <c r="D74" s="2" t="s">
        <v>240</v>
      </c>
      <c r="E74" s="2" t="s">
        <v>241</v>
      </c>
      <c r="F74" s="1" t="s">
        <v>96</v>
      </c>
      <c r="G74" s="3"/>
      <c r="H74" s="2" t="str">
        <f t="shared" si="2"/>
        <v xml:space="preserve">6.1. Source of Bee Colonies - Traditional 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spans="1:31" x14ac:dyDescent="0.25">
      <c r="A75" s="7" t="s">
        <v>239</v>
      </c>
      <c r="B75" s="8" t="s">
        <v>242</v>
      </c>
      <c r="C75" s="8"/>
      <c r="D75" s="8" t="s">
        <v>240</v>
      </c>
      <c r="E75" s="8" t="s">
        <v>241</v>
      </c>
      <c r="F75" s="7" t="s">
        <v>123</v>
      </c>
      <c r="G75" s="9"/>
      <c r="H75" s="8" t="str">
        <f t="shared" si="2"/>
        <v>6.1. Source of Bee Colonies - Traditional source_beecol_traditional</v>
      </c>
      <c r="I75" s="9"/>
      <c r="J75" s="9"/>
      <c r="K75" s="8" t="s">
        <v>124</v>
      </c>
      <c r="L75" s="9"/>
      <c r="M75" s="9"/>
      <c r="N75" s="9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 spans="1:31" x14ac:dyDescent="0.25">
      <c r="A76" s="7" t="s">
        <v>243</v>
      </c>
      <c r="B76" s="8" t="s">
        <v>244</v>
      </c>
      <c r="C76" s="8"/>
      <c r="D76" s="8" t="s">
        <v>211</v>
      </c>
      <c r="E76" s="9"/>
      <c r="F76" s="7" t="s">
        <v>18</v>
      </c>
      <c r="G76" s="7" t="s">
        <v>128</v>
      </c>
      <c r="H76" s="8" t="str">
        <f t="shared" si="2"/>
        <v>6.1.1. Number traditional_number</v>
      </c>
      <c r="I76" s="9"/>
      <c r="J76" s="9"/>
      <c r="K76" s="8" t="s">
        <v>245</v>
      </c>
      <c r="L76" s="9"/>
      <c r="M76" s="9"/>
      <c r="N76" s="9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 spans="1:31" x14ac:dyDescent="0.25">
      <c r="A77" s="7" t="s">
        <v>246</v>
      </c>
      <c r="B77" s="8" t="s">
        <v>247</v>
      </c>
      <c r="C77" s="8"/>
      <c r="D77" s="8" t="s">
        <v>248</v>
      </c>
      <c r="E77" s="9"/>
      <c r="F77" s="7" t="s">
        <v>18</v>
      </c>
      <c r="G77" s="7" t="s">
        <v>128</v>
      </c>
      <c r="H77" s="8" t="str">
        <f t="shared" si="2"/>
        <v>6.1.2. Value/Unit traditional_value</v>
      </c>
      <c r="I77" s="9"/>
      <c r="J77" s="9"/>
      <c r="K77" s="8" t="s">
        <v>245</v>
      </c>
      <c r="L77" s="9"/>
      <c r="M77" s="9"/>
      <c r="N77" s="9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 spans="1:31" x14ac:dyDescent="0.25">
      <c r="A78" s="7" t="s">
        <v>249</v>
      </c>
      <c r="B78" s="8" t="s">
        <v>250</v>
      </c>
      <c r="C78" s="8"/>
      <c r="D78" s="8" t="s">
        <v>251</v>
      </c>
      <c r="E78" s="8" t="s">
        <v>252</v>
      </c>
      <c r="F78" s="7" t="s">
        <v>26</v>
      </c>
      <c r="G78" s="9"/>
      <c r="H78" s="8" t="str">
        <f t="shared" si="2"/>
        <v>6.1.3. Source of Bee Colonies traditional_source</v>
      </c>
      <c r="I78" s="9"/>
      <c r="J78" s="9"/>
      <c r="K78" s="8" t="s">
        <v>245</v>
      </c>
      <c r="L78" s="8" t="s">
        <v>253</v>
      </c>
      <c r="M78" s="9"/>
      <c r="N78" s="9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 spans="1:31" x14ac:dyDescent="0.25">
      <c r="A79" s="7" t="s">
        <v>254</v>
      </c>
      <c r="B79" s="8" t="s">
        <v>255</v>
      </c>
      <c r="C79" s="8"/>
      <c r="D79" s="8" t="s">
        <v>256</v>
      </c>
      <c r="E79" s="9"/>
      <c r="F79" s="7" t="s">
        <v>18</v>
      </c>
      <c r="G79" s="7" t="s">
        <v>128</v>
      </c>
      <c r="H79" s="8" t="str">
        <f t="shared" si="2"/>
        <v>6.1.3.1. Source of Bee Colonies - Other traditional_source_other</v>
      </c>
      <c r="I79" s="9"/>
      <c r="J79" s="9"/>
      <c r="K79" s="8" t="s">
        <v>257</v>
      </c>
      <c r="L79" s="9"/>
      <c r="M79" s="9"/>
      <c r="N79" s="9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 spans="1:31" x14ac:dyDescent="0.25">
      <c r="A80" s="12" t="s">
        <v>258</v>
      </c>
      <c r="B80" s="3"/>
      <c r="C80" s="2"/>
      <c r="D80" s="2" t="s">
        <v>259</v>
      </c>
      <c r="E80" s="2" t="s">
        <v>260</v>
      </c>
      <c r="F80" s="1" t="s">
        <v>96</v>
      </c>
      <c r="G80" s="3"/>
      <c r="H80" s="2" t="str">
        <f t="shared" si="2"/>
        <v xml:space="preserve">6.2. Source of Bee Colonies - Transitional 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spans="1:31" x14ac:dyDescent="0.25">
      <c r="A81" s="7" t="s">
        <v>258</v>
      </c>
      <c r="B81" s="8" t="s">
        <v>261</v>
      </c>
      <c r="C81" s="8"/>
      <c r="D81" s="8" t="s">
        <v>259</v>
      </c>
      <c r="E81" s="8" t="s">
        <v>260</v>
      </c>
      <c r="F81" s="7" t="s">
        <v>123</v>
      </c>
      <c r="G81" s="9"/>
      <c r="H81" s="8" t="str">
        <f t="shared" si="2"/>
        <v>6.2. Source of Bee Colonies - Transitional source_beecol_transitional</v>
      </c>
      <c r="I81" s="9"/>
      <c r="J81" s="9"/>
      <c r="K81" s="8" t="s">
        <v>124</v>
      </c>
      <c r="L81" s="9"/>
      <c r="M81" s="9"/>
      <c r="N81" s="9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 spans="1:31" x14ac:dyDescent="0.25">
      <c r="A82" s="7" t="s">
        <v>262</v>
      </c>
      <c r="B82" s="8" t="s">
        <v>263</v>
      </c>
      <c r="C82" s="8"/>
      <c r="D82" s="8" t="s">
        <v>211</v>
      </c>
      <c r="E82" s="9"/>
      <c r="F82" s="7" t="s">
        <v>18</v>
      </c>
      <c r="G82" s="7" t="s">
        <v>128</v>
      </c>
      <c r="H82" s="8" t="str">
        <f t="shared" si="2"/>
        <v>6.2.1. Number transitional_number</v>
      </c>
      <c r="I82" s="9"/>
      <c r="J82" s="9"/>
      <c r="K82" s="8" t="s">
        <v>264</v>
      </c>
      <c r="L82" s="9"/>
      <c r="M82" s="9"/>
      <c r="N82" s="9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 spans="1:31" x14ac:dyDescent="0.25">
      <c r="A83" s="7" t="s">
        <v>265</v>
      </c>
      <c r="B83" s="8" t="s">
        <v>266</v>
      </c>
      <c r="C83" s="8"/>
      <c r="D83" s="8" t="s">
        <v>248</v>
      </c>
      <c r="E83" s="9"/>
      <c r="F83" s="7" t="s">
        <v>18</v>
      </c>
      <c r="G83" s="7" t="s">
        <v>128</v>
      </c>
      <c r="H83" s="8" t="str">
        <f t="shared" si="2"/>
        <v>6.2.2. Value/Unit transitional_value</v>
      </c>
      <c r="I83" s="9"/>
      <c r="J83" s="9"/>
      <c r="K83" s="8" t="s">
        <v>264</v>
      </c>
      <c r="L83" s="9"/>
      <c r="M83" s="9"/>
      <c r="N83" s="9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 spans="1:31" x14ac:dyDescent="0.25">
      <c r="A84" s="7" t="s">
        <v>267</v>
      </c>
      <c r="B84" s="8" t="s">
        <v>268</v>
      </c>
      <c r="C84" s="8"/>
      <c r="D84" s="8" t="s">
        <v>251</v>
      </c>
      <c r="E84" s="8" t="s">
        <v>252</v>
      </c>
      <c r="F84" s="7" t="s">
        <v>26</v>
      </c>
      <c r="G84" s="9"/>
      <c r="H84" s="8" t="str">
        <f t="shared" si="2"/>
        <v>6.2.3. Source of Bee Colonies transitional_source</v>
      </c>
      <c r="I84" s="9"/>
      <c r="J84" s="9"/>
      <c r="K84" s="8" t="s">
        <v>264</v>
      </c>
      <c r="L84" s="8" t="s">
        <v>253</v>
      </c>
      <c r="M84" s="9"/>
      <c r="N84" s="9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 spans="1:31" x14ac:dyDescent="0.25">
      <c r="A85" s="7" t="s">
        <v>269</v>
      </c>
      <c r="B85" s="8" t="s">
        <v>270</v>
      </c>
      <c r="C85" s="8"/>
      <c r="D85" s="8" t="s">
        <v>256</v>
      </c>
      <c r="E85" s="9"/>
      <c r="F85" s="7" t="s">
        <v>18</v>
      </c>
      <c r="G85" s="7" t="s">
        <v>128</v>
      </c>
      <c r="H85" s="8" t="str">
        <f t="shared" si="2"/>
        <v>6.2.3.1. Source of Bee Colonies - Other transitional_source_other</v>
      </c>
      <c r="I85" s="9"/>
      <c r="J85" s="9"/>
      <c r="K85" s="8" t="s">
        <v>271</v>
      </c>
      <c r="L85" s="9"/>
      <c r="M85" s="9"/>
      <c r="N85" s="9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 spans="1:31" x14ac:dyDescent="0.25">
      <c r="A86" s="12" t="s">
        <v>272</v>
      </c>
      <c r="B86" s="3"/>
      <c r="C86" s="2"/>
      <c r="D86" s="2" t="s">
        <v>273</v>
      </c>
      <c r="E86" s="2" t="s">
        <v>274</v>
      </c>
      <c r="F86" s="1" t="s">
        <v>96</v>
      </c>
      <c r="G86" s="3"/>
      <c r="H86" s="2" t="str">
        <f t="shared" si="2"/>
        <v xml:space="preserve">6.3. Source of Bee Colonies - Modern 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x14ac:dyDescent="0.25">
      <c r="A87" s="7" t="s">
        <v>272</v>
      </c>
      <c r="B87" s="8" t="s">
        <v>275</v>
      </c>
      <c r="C87" s="8"/>
      <c r="D87" s="8" t="s">
        <v>273</v>
      </c>
      <c r="E87" s="8" t="s">
        <v>274</v>
      </c>
      <c r="F87" s="7" t="s">
        <v>123</v>
      </c>
      <c r="G87" s="9"/>
      <c r="H87" s="8" t="str">
        <f t="shared" si="2"/>
        <v>6.3. Source of Bee Colonies - Modern source_beecol_modern</v>
      </c>
      <c r="I87" s="9"/>
      <c r="J87" s="9"/>
      <c r="K87" s="8" t="s">
        <v>124</v>
      </c>
      <c r="L87" s="9"/>
      <c r="M87" s="9"/>
      <c r="N87" s="9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 spans="1:31" x14ac:dyDescent="0.25">
      <c r="A88" s="7" t="s">
        <v>276</v>
      </c>
      <c r="B88" s="8" t="s">
        <v>277</v>
      </c>
      <c r="C88" s="8"/>
      <c r="D88" s="8" t="s">
        <v>211</v>
      </c>
      <c r="E88" s="9"/>
      <c r="F88" s="7" t="s">
        <v>18</v>
      </c>
      <c r="G88" s="7" t="s">
        <v>128</v>
      </c>
      <c r="H88" s="8" t="str">
        <f t="shared" si="2"/>
        <v>6.3.1. Number modern_number</v>
      </c>
      <c r="I88" s="9"/>
      <c r="J88" s="9"/>
      <c r="K88" s="8" t="s">
        <v>278</v>
      </c>
      <c r="L88" s="9"/>
      <c r="M88" s="9"/>
      <c r="N88" s="9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 spans="1:31" x14ac:dyDescent="0.25">
      <c r="A89" s="7" t="s">
        <v>279</v>
      </c>
      <c r="B89" s="8" t="s">
        <v>280</v>
      </c>
      <c r="C89" s="8"/>
      <c r="D89" s="8" t="s">
        <v>248</v>
      </c>
      <c r="E89" s="9"/>
      <c r="F89" s="7" t="s">
        <v>18</v>
      </c>
      <c r="G89" s="7" t="s">
        <v>128</v>
      </c>
      <c r="H89" s="8" t="str">
        <f t="shared" si="2"/>
        <v>6.3.2. Value/Unit modern_value</v>
      </c>
      <c r="I89" s="9"/>
      <c r="J89" s="9"/>
      <c r="K89" s="8" t="s">
        <v>278</v>
      </c>
      <c r="L89" s="9"/>
      <c r="M89" s="9"/>
      <c r="N89" s="9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 spans="1:31" x14ac:dyDescent="0.25">
      <c r="A90" s="7" t="s">
        <v>281</v>
      </c>
      <c r="B90" s="8" t="s">
        <v>282</v>
      </c>
      <c r="C90" s="8"/>
      <c r="D90" s="8" t="s">
        <v>251</v>
      </c>
      <c r="E90" s="8" t="s">
        <v>252</v>
      </c>
      <c r="F90" s="7" t="s">
        <v>26</v>
      </c>
      <c r="G90" s="9"/>
      <c r="H90" s="8" t="str">
        <f t="shared" si="2"/>
        <v>6.3.3. Source of Bee Colonies modern_source</v>
      </c>
      <c r="I90" s="9"/>
      <c r="J90" s="9"/>
      <c r="K90" s="8" t="s">
        <v>278</v>
      </c>
      <c r="L90" s="8" t="s">
        <v>253</v>
      </c>
      <c r="M90" s="9"/>
      <c r="N90" s="9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 spans="1:31" x14ac:dyDescent="0.25">
      <c r="A91" s="7" t="s">
        <v>283</v>
      </c>
      <c r="B91" s="8" t="s">
        <v>284</v>
      </c>
      <c r="C91" s="8"/>
      <c r="D91" s="8" t="s">
        <v>256</v>
      </c>
      <c r="E91" s="9"/>
      <c r="F91" s="7" t="s">
        <v>18</v>
      </c>
      <c r="G91" s="7" t="s">
        <v>128</v>
      </c>
      <c r="H91" s="8" t="str">
        <f t="shared" si="2"/>
        <v>6.3.3.1. Source of Bee Colonies - Other modern_source_other</v>
      </c>
      <c r="I91" s="9"/>
      <c r="J91" s="9"/>
      <c r="K91" s="8" t="s">
        <v>285</v>
      </c>
      <c r="L91" s="9"/>
      <c r="M91" s="9"/>
      <c r="N91" s="9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 spans="1:31" x14ac:dyDescent="0.25">
      <c r="A92" s="7">
        <v>7</v>
      </c>
      <c r="B92" s="8" t="s">
        <v>286</v>
      </c>
      <c r="C92" s="8"/>
      <c r="D92" s="8" t="s">
        <v>287</v>
      </c>
      <c r="E92" s="8" t="s">
        <v>288</v>
      </c>
      <c r="F92" s="7" t="s">
        <v>26</v>
      </c>
      <c r="G92" s="9"/>
      <c r="H92" s="8" t="str">
        <f t="shared" si="2"/>
        <v>7 How do you do Beekeeping? beekeeping_type</v>
      </c>
      <c r="I92" s="9"/>
      <c r="J92" s="9"/>
      <c r="K92" s="9"/>
      <c r="L92" s="8" t="s">
        <v>289</v>
      </c>
      <c r="M92" s="8" t="s">
        <v>290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1:31" x14ac:dyDescent="0.25">
      <c r="A93" s="7">
        <v>7.1</v>
      </c>
      <c r="B93" s="8" t="s">
        <v>291</v>
      </c>
      <c r="C93" s="8"/>
      <c r="D93" s="8" t="s">
        <v>292</v>
      </c>
      <c r="E93" s="8" t="s">
        <v>293</v>
      </c>
      <c r="F93" s="7" t="s">
        <v>123</v>
      </c>
      <c r="G93" s="9"/>
      <c r="H93" s="8" t="str">
        <f t="shared" si="2"/>
        <v>7.1 During beekeeping, do you do migration with the colonies? beekeeping_migration</v>
      </c>
      <c r="I93" s="9"/>
      <c r="J93" s="9"/>
      <c r="K93" s="9"/>
      <c r="L93" s="8" t="s">
        <v>124</v>
      </c>
      <c r="M93" s="8" t="s">
        <v>290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1:31" x14ac:dyDescent="0.25">
      <c r="A94" s="7" t="s">
        <v>294</v>
      </c>
      <c r="B94" s="8" t="s">
        <v>295</v>
      </c>
      <c r="C94" s="8"/>
      <c r="D94" s="8" t="s">
        <v>296</v>
      </c>
      <c r="E94" s="8" t="s">
        <v>297</v>
      </c>
      <c r="F94" s="7" t="s">
        <v>18</v>
      </c>
      <c r="G94" s="9"/>
      <c r="H94" s="8" t="str">
        <f t="shared" si="2"/>
        <v>7.1.1. How many times a year (please specify the number) beekeeping_migration_number</v>
      </c>
      <c r="I94" s="9"/>
      <c r="J94" s="9"/>
      <c r="K94" s="9"/>
      <c r="L94" s="9"/>
      <c r="M94" s="8" t="s">
        <v>290</v>
      </c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1:31" x14ac:dyDescent="0.25">
      <c r="A95" s="7">
        <v>7.2</v>
      </c>
      <c r="B95" s="8" t="s">
        <v>298</v>
      </c>
      <c r="C95" s="8"/>
      <c r="D95" s="8" t="s">
        <v>299</v>
      </c>
      <c r="E95" s="8" t="s">
        <v>300</v>
      </c>
      <c r="F95" s="7" t="s">
        <v>18</v>
      </c>
      <c r="G95" s="9"/>
      <c r="H95" s="8" t="str">
        <f t="shared" si="2"/>
        <v>7.2 How much honey can you produce per box at one time (Kg) honey_qualtity_per_box</v>
      </c>
      <c r="I95" s="9"/>
      <c r="J95" s="9"/>
      <c r="K95" s="9"/>
      <c r="L95" s="9"/>
      <c r="M95" s="8" t="s">
        <v>290</v>
      </c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1:31" x14ac:dyDescent="0.25">
      <c r="A96" s="4">
        <v>8</v>
      </c>
      <c r="B96" s="5"/>
      <c r="C96" s="6"/>
      <c r="D96" s="6" t="s">
        <v>301</v>
      </c>
      <c r="E96" s="6" t="s">
        <v>302</v>
      </c>
      <c r="F96" s="14" t="s">
        <v>303</v>
      </c>
      <c r="G96" s="5"/>
      <c r="H96" s="6" t="str">
        <f t="shared" si="2"/>
        <v xml:space="preserve">8 Details of Beekeeping Production 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</row>
    <row r="97" spans="1:31" x14ac:dyDescent="0.25">
      <c r="A97" s="7" t="s">
        <v>304</v>
      </c>
      <c r="B97" s="8" t="s">
        <v>305</v>
      </c>
      <c r="C97" s="8"/>
      <c r="D97" s="8" t="s">
        <v>306</v>
      </c>
      <c r="E97" s="8" t="s">
        <v>302</v>
      </c>
      <c r="F97" s="7" t="s">
        <v>123</v>
      </c>
      <c r="G97" s="9"/>
      <c r="H97" s="8" t="str">
        <f t="shared" si="2"/>
        <v>8.1. Varieties of Bee: sr1_bee_varieties</v>
      </c>
      <c r="I97" s="9"/>
      <c r="J97" s="9"/>
      <c r="K97" s="9"/>
      <c r="L97" s="8" t="s">
        <v>124</v>
      </c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1:31" x14ac:dyDescent="0.25">
      <c r="A98" s="7" t="s">
        <v>307</v>
      </c>
      <c r="B98" s="8" t="s">
        <v>308</v>
      </c>
      <c r="C98" s="8"/>
      <c r="D98" s="8" t="s">
        <v>309</v>
      </c>
      <c r="E98" s="8" t="s">
        <v>310</v>
      </c>
      <c r="F98" s="7" t="s">
        <v>226</v>
      </c>
      <c r="G98" s="9"/>
      <c r="H98" s="8" t="str">
        <f t="shared" si="2"/>
        <v>8.1.1. Varieties of Bee (Name) sr1_bee_varities_name</v>
      </c>
      <c r="I98" s="9"/>
      <c r="J98" s="9"/>
      <c r="K98" s="8" t="s">
        <v>311</v>
      </c>
      <c r="L98" s="8" t="s">
        <v>312</v>
      </c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1:31" x14ac:dyDescent="0.25">
      <c r="A99" s="7" t="s">
        <v>313</v>
      </c>
      <c r="B99" s="8" t="s">
        <v>314</v>
      </c>
      <c r="C99" s="8"/>
      <c r="D99" s="8" t="s">
        <v>315</v>
      </c>
      <c r="E99" s="9"/>
      <c r="F99" s="7" t="s">
        <v>18</v>
      </c>
      <c r="G99" s="9"/>
      <c r="H99" s="8" t="str">
        <f t="shared" si="2"/>
        <v>8.1.1.1. Varieties of Bee (Name) - Other sr1_bee_varities_name_other</v>
      </c>
      <c r="I99" s="9"/>
      <c r="J99" s="9"/>
      <c r="K99" s="8" t="s">
        <v>316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1:31" x14ac:dyDescent="0.25">
      <c r="A100" s="12" t="s">
        <v>317</v>
      </c>
      <c r="B100" s="2" t="s">
        <v>318</v>
      </c>
      <c r="C100" s="2"/>
      <c r="D100" s="2" t="s">
        <v>319</v>
      </c>
      <c r="E100" s="2" t="s">
        <v>320</v>
      </c>
      <c r="F100" s="1" t="s">
        <v>123</v>
      </c>
      <c r="G100" s="3"/>
      <c r="H100" s="2" t="str">
        <f t="shared" si="2"/>
        <v>8.1.2. Honey sr1_product_honey</v>
      </c>
      <c r="I100" s="3"/>
      <c r="J100" s="3"/>
      <c r="K100" s="2" t="s">
        <v>311</v>
      </c>
      <c r="L100" s="2" t="s">
        <v>124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x14ac:dyDescent="0.25">
      <c r="A101" s="7" t="s">
        <v>321</v>
      </c>
      <c r="B101" s="8" t="s">
        <v>322</v>
      </c>
      <c r="C101" s="8"/>
      <c r="D101" s="8" t="s">
        <v>323</v>
      </c>
      <c r="E101" s="9"/>
      <c r="F101" s="7" t="s">
        <v>18</v>
      </c>
      <c r="G101" s="7" t="s">
        <v>128</v>
      </c>
      <c r="H101" s="8" t="str">
        <f t="shared" si="2"/>
        <v>8.1.2.1. Honey - Qty (Kg) sr1_honey_qty</v>
      </c>
      <c r="I101" s="9"/>
      <c r="J101" s="9"/>
      <c r="K101" s="8" t="s">
        <v>324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1:31" x14ac:dyDescent="0.25">
      <c r="A102" s="7" t="s">
        <v>325</v>
      </c>
      <c r="B102" s="15" t="s">
        <v>326</v>
      </c>
      <c r="C102" s="8"/>
      <c r="D102" s="8" t="s">
        <v>327</v>
      </c>
      <c r="E102" s="9"/>
      <c r="F102" s="7" t="s">
        <v>18</v>
      </c>
      <c r="G102" s="7" t="s">
        <v>128</v>
      </c>
      <c r="H102" s="8" t="str">
        <f t="shared" si="2"/>
        <v>8.1.2.2. Honey - Price (Rs/Kg) sr1_honey_price</v>
      </c>
      <c r="I102" s="9"/>
      <c r="J102" s="9"/>
      <c r="K102" s="8" t="s">
        <v>324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1:31" x14ac:dyDescent="0.25">
      <c r="A103" s="23" t="s">
        <v>328</v>
      </c>
      <c r="B103" s="8" t="s">
        <v>329</v>
      </c>
      <c r="C103" s="8"/>
      <c r="D103" s="8" t="s">
        <v>330</v>
      </c>
      <c r="E103" s="8" t="s">
        <v>331</v>
      </c>
      <c r="F103" s="7" t="s">
        <v>332</v>
      </c>
      <c r="G103" s="9"/>
      <c r="H103" s="8" t="str">
        <f t="shared" si="2"/>
        <v>8.1.2.3. Productivity of Honey (Kg per box/colonies) sr1_honey_productivity</v>
      </c>
      <c r="I103" s="9"/>
      <c r="J103" s="9"/>
      <c r="K103" s="8" t="s">
        <v>324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1:31" x14ac:dyDescent="0.25">
      <c r="A104" s="7" t="s">
        <v>333</v>
      </c>
      <c r="B104" s="8" t="s">
        <v>334</v>
      </c>
      <c r="C104" s="8"/>
      <c r="D104" s="8" t="s">
        <v>335</v>
      </c>
      <c r="E104" s="8" t="s">
        <v>336</v>
      </c>
      <c r="F104" s="7" t="s">
        <v>18</v>
      </c>
      <c r="G104" s="7" t="s">
        <v>337</v>
      </c>
      <c r="H104" s="8" t="str">
        <f t="shared" si="2"/>
        <v>8.1.2.4. If productivity of honey is less than 15 Kg per box/colonies (Give Reason) sr1_honey_productivity_under15kg_reason</v>
      </c>
      <c r="I104" s="9"/>
      <c r="J104" s="9"/>
      <c r="K104" s="8" t="s">
        <v>324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1:31" x14ac:dyDescent="0.25">
      <c r="A105" s="23" t="s">
        <v>338</v>
      </c>
      <c r="B105" s="8" t="s">
        <v>339</v>
      </c>
      <c r="C105" s="8"/>
      <c r="D105" s="8" t="s">
        <v>340</v>
      </c>
      <c r="E105" s="8" t="s">
        <v>341</v>
      </c>
      <c r="F105" s="7" t="s">
        <v>342</v>
      </c>
      <c r="G105" s="9"/>
      <c r="H105" s="8" t="str">
        <f t="shared" si="2"/>
        <v>8.1.2.5. Total Revenue of Honey (Rs) sr1_honey_revenue</v>
      </c>
      <c r="I105" s="9"/>
      <c r="J105" s="9"/>
      <c r="K105" s="8" t="s">
        <v>324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1:31" x14ac:dyDescent="0.25">
      <c r="A106" s="12" t="s">
        <v>343</v>
      </c>
      <c r="B106" s="2" t="s">
        <v>344</v>
      </c>
      <c r="C106" s="2"/>
      <c r="D106" s="2" t="s">
        <v>345</v>
      </c>
      <c r="E106" s="2" t="s">
        <v>346</v>
      </c>
      <c r="F106" s="1" t="s">
        <v>123</v>
      </c>
      <c r="G106" s="3"/>
      <c r="H106" s="2" t="str">
        <f t="shared" si="2"/>
        <v>8.1.3. Beeswax sr1_product_beeswax</v>
      </c>
      <c r="I106" s="3"/>
      <c r="J106" s="3"/>
      <c r="K106" s="2" t="s">
        <v>311</v>
      </c>
      <c r="L106" s="2" t="s">
        <v>124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x14ac:dyDescent="0.25">
      <c r="A107" s="7" t="s">
        <v>347</v>
      </c>
      <c r="B107" s="8" t="s">
        <v>348</v>
      </c>
      <c r="C107" s="8"/>
      <c r="D107" s="8" t="s">
        <v>349</v>
      </c>
      <c r="E107" s="9"/>
      <c r="F107" s="7" t="s">
        <v>18</v>
      </c>
      <c r="G107" s="7" t="s">
        <v>128</v>
      </c>
      <c r="H107" s="8" t="str">
        <f t="shared" si="2"/>
        <v>8.1.3.1. Beeswax - Qty (Kg) sr1_beeswax_qty</v>
      </c>
      <c r="I107" s="9"/>
      <c r="J107" s="9"/>
      <c r="K107" s="8" t="s">
        <v>350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1:31" x14ac:dyDescent="0.25">
      <c r="A108" s="7" t="s">
        <v>351</v>
      </c>
      <c r="B108" s="8" t="s">
        <v>352</v>
      </c>
      <c r="C108" s="8"/>
      <c r="D108" s="8" t="s">
        <v>353</v>
      </c>
      <c r="E108" s="9"/>
      <c r="F108" s="7" t="s">
        <v>18</v>
      </c>
      <c r="G108" s="7" t="s">
        <v>128</v>
      </c>
      <c r="H108" s="8" t="str">
        <f t="shared" si="2"/>
        <v>8.1.3.2. Beeswax - Price (Rs/Kg) sr1_beeswax_price</v>
      </c>
      <c r="I108" s="9"/>
      <c r="J108" s="9"/>
      <c r="K108" s="8" t="s">
        <v>350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1:31" x14ac:dyDescent="0.25">
      <c r="A109" s="12" t="s">
        <v>354</v>
      </c>
      <c r="B109" s="2" t="s">
        <v>355</v>
      </c>
      <c r="C109" s="2"/>
      <c r="D109" s="2" t="s">
        <v>356</v>
      </c>
      <c r="E109" s="2" t="s">
        <v>357</v>
      </c>
      <c r="F109" s="1" t="s">
        <v>123</v>
      </c>
      <c r="G109" s="3"/>
      <c r="H109" s="2" t="str">
        <f t="shared" si="2"/>
        <v>8.1.4. Pollen sr1_product_pollen</v>
      </c>
      <c r="I109" s="3"/>
      <c r="J109" s="3"/>
      <c r="K109" s="2" t="s">
        <v>311</v>
      </c>
      <c r="L109" s="2" t="s">
        <v>124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x14ac:dyDescent="0.25">
      <c r="A110" s="7" t="s">
        <v>358</v>
      </c>
      <c r="B110" s="8" t="s">
        <v>359</v>
      </c>
      <c r="C110" s="8"/>
      <c r="D110" s="8" t="s">
        <v>360</v>
      </c>
      <c r="E110" s="9"/>
      <c r="F110" s="7" t="s">
        <v>18</v>
      </c>
      <c r="G110" s="7" t="s">
        <v>128</v>
      </c>
      <c r="H110" s="8" t="str">
        <f t="shared" si="2"/>
        <v>8.1.4.1. Pollen - Qty (Kg) sr1_pollen_qty</v>
      </c>
      <c r="I110" s="9"/>
      <c r="J110" s="9"/>
      <c r="K110" s="8" t="s">
        <v>361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1:31" x14ac:dyDescent="0.25">
      <c r="A111" s="7" t="s">
        <v>362</v>
      </c>
      <c r="B111" s="8" t="s">
        <v>363</v>
      </c>
      <c r="C111" s="8"/>
      <c r="D111" s="8" t="s">
        <v>364</v>
      </c>
      <c r="E111" s="9"/>
      <c r="F111" s="7" t="s">
        <v>18</v>
      </c>
      <c r="G111" s="7" t="s">
        <v>128</v>
      </c>
      <c r="H111" s="8" t="str">
        <f t="shared" si="2"/>
        <v>8.1.4.2. Pollen - Price (Rs/Kg) sr1_pollen_price</v>
      </c>
      <c r="I111" s="9"/>
      <c r="J111" s="9"/>
      <c r="K111" s="8" t="s">
        <v>361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1:31" x14ac:dyDescent="0.25">
      <c r="A112" s="12" t="s">
        <v>365</v>
      </c>
      <c r="B112" s="2" t="s">
        <v>366</v>
      </c>
      <c r="C112" s="2"/>
      <c r="D112" s="2" t="s">
        <v>367</v>
      </c>
      <c r="E112" s="2" t="s">
        <v>368</v>
      </c>
      <c r="F112" s="1" t="s">
        <v>123</v>
      </c>
      <c r="G112" s="3"/>
      <c r="H112" s="2" t="str">
        <f t="shared" si="2"/>
        <v>8.1.5. Royal Jelly sr1_product_royaljelly</v>
      </c>
      <c r="I112" s="3"/>
      <c r="J112" s="3"/>
      <c r="K112" s="2" t="s">
        <v>311</v>
      </c>
      <c r="L112" s="2" t="s">
        <v>124</v>
      </c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x14ac:dyDescent="0.25">
      <c r="A113" s="7" t="s">
        <v>369</v>
      </c>
      <c r="B113" s="8" t="s">
        <v>370</v>
      </c>
      <c r="C113" s="8"/>
      <c r="D113" s="8" t="s">
        <v>371</v>
      </c>
      <c r="E113" s="9"/>
      <c r="F113" s="7" t="s">
        <v>18</v>
      </c>
      <c r="G113" s="7" t="s">
        <v>128</v>
      </c>
      <c r="H113" s="8" t="str">
        <f t="shared" si="2"/>
        <v>8.1.5.1. Royal Jelly - Qty (Kg) sr1_royaljelly_qty</v>
      </c>
      <c r="I113" s="9"/>
      <c r="J113" s="9"/>
      <c r="K113" s="8" t="s">
        <v>372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1:31" x14ac:dyDescent="0.25">
      <c r="A114" s="7" t="s">
        <v>373</v>
      </c>
      <c r="B114" s="8" t="s">
        <v>374</v>
      </c>
      <c r="C114" s="8"/>
      <c r="D114" s="8" t="s">
        <v>375</v>
      </c>
      <c r="E114" s="9"/>
      <c r="F114" s="7" t="s">
        <v>18</v>
      </c>
      <c r="G114" s="7" t="s">
        <v>128</v>
      </c>
      <c r="H114" s="8" t="str">
        <f t="shared" si="2"/>
        <v>8.1.5.2. Royal Jelly - Price (Rs/Kg) sr1_royaljelly_price</v>
      </c>
      <c r="I114" s="9"/>
      <c r="J114" s="9"/>
      <c r="K114" s="8" t="s">
        <v>372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1:31" x14ac:dyDescent="0.25">
      <c r="A115" s="12" t="s">
        <v>376</v>
      </c>
      <c r="B115" s="2" t="s">
        <v>377</v>
      </c>
      <c r="C115" s="2"/>
      <c r="D115" s="2" t="s">
        <v>378</v>
      </c>
      <c r="E115" s="2" t="s">
        <v>379</v>
      </c>
      <c r="F115" s="1" t="s">
        <v>123</v>
      </c>
      <c r="G115" s="3"/>
      <c r="H115" s="2" t="str">
        <f t="shared" si="2"/>
        <v>8.1.6. Propolis sr1_product_propolis</v>
      </c>
      <c r="I115" s="3"/>
      <c r="J115" s="3"/>
      <c r="K115" s="2" t="s">
        <v>311</v>
      </c>
      <c r="L115" s="2" t="s">
        <v>124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x14ac:dyDescent="0.25">
      <c r="A116" s="7" t="s">
        <v>380</v>
      </c>
      <c r="B116" s="8" t="s">
        <v>381</v>
      </c>
      <c r="C116" s="8"/>
      <c r="D116" s="8" t="s">
        <v>382</v>
      </c>
      <c r="E116" s="9"/>
      <c r="F116" s="7" t="s">
        <v>18</v>
      </c>
      <c r="G116" s="7" t="s">
        <v>128</v>
      </c>
      <c r="H116" s="8" t="str">
        <f t="shared" si="2"/>
        <v>8.1.6.1. Propolis - Qty (Kg) sr1_propolis_qty</v>
      </c>
      <c r="I116" s="9"/>
      <c r="J116" s="9"/>
      <c r="K116" s="8" t="s">
        <v>383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1:31" x14ac:dyDescent="0.25">
      <c r="A117" s="7" t="s">
        <v>384</v>
      </c>
      <c r="B117" s="8" t="s">
        <v>385</v>
      </c>
      <c r="C117" s="8"/>
      <c r="D117" s="8" t="s">
        <v>386</v>
      </c>
      <c r="E117" s="9"/>
      <c r="F117" s="7" t="s">
        <v>18</v>
      </c>
      <c r="G117" s="7" t="s">
        <v>128</v>
      </c>
      <c r="H117" s="8" t="str">
        <f t="shared" si="2"/>
        <v>8.1.6.2. Propolis - Price (Rs/Kg) sr1_propolis_price</v>
      </c>
      <c r="I117" s="9"/>
      <c r="J117" s="9"/>
      <c r="K117" s="8" t="s">
        <v>383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spans="1:31" x14ac:dyDescent="0.25">
      <c r="A118" s="12" t="s">
        <v>387</v>
      </c>
      <c r="B118" s="2" t="s">
        <v>388</v>
      </c>
      <c r="C118" s="2"/>
      <c r="D118" s="2" t="s">
        <v>389</v>
      </c>
      <c r="E118" s="2" t="s">
        <v>390</v>
      </c>
      <c r="F118" s="1" t="s">
        <v>123</v>
      </c>
      <c r="G118" s="3"/>
      <c r="H118" s="2" t="str">
        <f t="shared" si="2"/>
        <v>8.1.7. Venom sr1_product_venom</v>
      </c>
      <c r="I118" s="3"/>
      <c r="J118" s="3"/>
      <c r="K118" s="2" t="s">
        <v>311</v>
      </c>
      <c r="L118" s="2" t="s">
        <v>124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x14ac:dyDescent="0.25">
      <c r="A119" s="7" t="s">
        <v>391</v>
      </c>
      <c r="B119" s="8" t="s">
        <v>392</v>
      </c>
      <c r="C119" s="8"/>
      <c r="D119" s="8" t="s">
        <v>393</v>
      </c>
      <c r="E119" s="9"/>
      <c r="F119" s="7" t="s">
        <v>18</v>
      </c>
      <c r="G119" s="7" t="s">
        <v>128</v>
      </c>
      <c r="H119" s="8" t="str">
        <f t="shared" si="2"/>
        <v>8.1.7.1. Venom - Qty (Kg) sr1_venom_qty</v>
      </c>
      <c r="I119" s="9"/>
      <c r="J119" s="9"/>
      <c r="K119" s="8" t="s">
        <v>394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spans="1:31" x14ac:dyDescent="0.25">
      <c r="A120" s="7" t="s">
        <v>395</v>
      </c>
      <c r="B120" s="8" t="s">
        <v>396</v>
      </c>
      <c r="C120" s="8"/>
      <c r="D120" s="8" t="s">
        <v>397</v>
      </c>
      <c r="E120" s="9"/>
      <c r="F120" s="7" t="s">
        <v>18</v>
      </c>
      <c r="G120" s="7" t="s">
        <v>128</v>
      </c>
      <c r="H120" s="8" t="str">
        <f t="shared" si="2"/>
        <v>8.1.7.2. Venom - Price (Rs/Kg) sr1_venom_price</v>
      </c>
      <c r="I120" s="9"/>
      <c r="J120" s="9"/>
      <c r="K120" s="8" t="s">
        <v>394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spans="1:31" x14ac:dyDescent="0.25">
      <c r="A121" s="12" t="s">
        <v>398</v>
      </c>
      <c r="B121" s="2" t="s">
        <v>399</v>
      </c>
      <c r="C121" s="2"/>
      <c r="D121" s="2" t="s">
        <v>400</v>
      </c>
      <c r="E121" s="2" t="s">
        <v>401</v>
      </c>
      <c r="F121" s="1" t="s">
        <v>123</v>
      </c>
      <c r="G121" s="3"/>
      <c r="H121" s="2" t="str">
        <f t="shared" si="2"/>
        <v>8.1.8. Total Row By-product sr1_product_rowbyproduct</v>
      </c>
      <c r="I121" s="3"/>
      <c r="J121" s="3"/>
      <c r="K121" s="2" t="s">
        <v>311</v>
      </c>
      <c r="L121" s="2" t="s">
        <v>124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x14ac:dyDescent="0.25">
      <c r="A122" s="7" t="s">
        <v>402</v>
      </c>
      <c r="B122" s="8" t="s">
        <v>403</v>
      </c>
      <c r="C122" s="8"/>
      <c r="D122" s="8" t="s">
        <v>404</v>
      </c>
      <c r="E122" s="9"/>
      <c r="F122" s="7" t="s">
        <v>18</v>
      </c>
      <c r="G122" s="7" t="s">
        <v>128</v>
      </c>
      <c r="H122" s="8" t="str">
        <f t="shared" si="2"/>
        <v>8.1.8.1. Row By Product - Qty (Kg) sr1_rowbyproduct_qty</v>
      </c>
      <c r="I122" s="9"/>
      <c r="J122" s="9"/>
      <c r="K122" s="8" t="s">
        <v>405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spans="1:31" x14ac:dyDescent="0.25">
      <c r="A123" s="7" t="s">
        <v>406</v>
      </c>
      <c r="B123" s="8" t="s">
        <v>407</v>
      </c>
      <c r="C123" s="8"/>
      <c r="D123" s="8" t="s">
        <v>408</v>
      </c>
      <c r="E123" s="9"/>
      <c r="F123" s="7" t="s">
        <v>18</v>
      </c>
      <c r="G123" s="7" t="s">
        <v>128</v>
      </c>
      <c r="H123" s="8" t="str">
        <f t="shared" si="2"/>
        <v>8.1.8.2. Row By Product - Price (Rs/Kg) sr1_rowbyproduct_price</v>
      </c>
      <c r="I123" s="9"/>
      <c r="J123" s="9"/>
      <c r="K123" s="8" t="s">
        <v>405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 spans="1:31" x14ac:dyDescent="0.25">
      <c r="A124" s="7" t="s">
        <v>409</v>
      </c>
      <c r="B124" s="8" t="s">
        <v>410</v>
      </c>
      <c r="C124" s="8"/>
      <c r="D124" s="8" t="s">
        <v>411</v>
      </c>
      <c r="E124" s="8" t="s">
        <v>412</v>
      </c>
      <c r="F124" s="7" t="s">
        <v>18</v>
      </c>
      <c r="G124" s="7" t="s">
        <v>128</v>
      </c>
      <c r="H124" s="8" t="str">
        <f t="shared" si="2"/>
        <v>8.1.9. What is the total increase in bee box numbers? sr1_beebox_numbers</v>
      </c>
      <c r="I124" s="9"/>
      <c r="J124" s="9"/>
      <c r="K124" s="15" t="s">
        <v>311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spans="1:31" x14ac:dyDescent="0.25">
      <c r="A125" s="4">
        <v>9</v>
      </c>
      <c r="B125" s="5"/>
      <c r="C125" s="6"/>
      <c r="D125" s="6" t="s">
        <v>413</v>
      </c>
      <c r="E125" s="6" t="s">
        <v>414</v>
      </c>
      <c r="F125" s="14" t="s">
        <v>303</v>
      </c>
      <c r="G125" s="5"/>
      <c r="H125" s="6" t="str">
        <f t="shared" si="2"/>
        <v xml:space="preserve">9 Cost of Production process under Beekeeping 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</row>
    <row r="126" spans="1:31" x14ac:dyDescent="0.25">
      <c r="A126" s="12" t="s">
        <v>415</v>
      </c>
      <c r="B126" s="3"/>
      <c r="C126" s="2"/>
      <c r="D126" s="2" t="s">
        <v>416</v>
      </c>
      <c r="E126" s="2" t="s">
        <v>414</v>
      </c>
      <c r="F126" s="1" t="s">
        <v>123</v>
      </c>
      <c r="G126" s="3"/>
      <c r="H126" s="2" t="str">
        <f t="shared" si="2"/>
        <v xml:space="preserve">9.1. Cost of Production process under Beekeeping: </v>
      </c>
      <c r="I126" s="3"/>
      <c r="J126" s="3"/>
      <c r="K126" s="3"/>
      <c r="L126" s="2" t="s">
        <v>124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x14ac:dyDescent="0.25">
      <c r="A127" s="7" t="s">
        <v>181</v>
      </c>
      <c r="B127" s="9"/>
      <c r="C127" s="15"/>
      <c r="D127" s="15" t="s">
        <v>417</v>
      </c>
      <c r="E127" s="15" t="s">
        <v>418</v>
      </c>
      <c r="F127" s="9"/>
      <c r="G127" s="9"/>
      <c r="H127" s="15" t="str">
        <f t="shared" si="2"/>
        <v xml:space="preserve"># Fixed Cost </v>
      </c>
      <c r="I127" s="9"/>
      <c r="J127" s="9"/>
      <c r="K127" s="9"/>
      <c r="L127" s="9"/>
      <c r="M127" s="9"/>
      <c r="N127" s="9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</row>
    <row r="128" spans="1:31" x14ac:dyDescent="0.25">
      <c r="A128" s="7" t="s">
        <v>419</v>
      </c>
      <c r="B128" s="8" t="s">
        <v>420</v>
      </c>
      <c r="C128" s="8"/>
      <c r="D128" s="8" t="s">
        <v>421</v>
      </c>
      <c r="E128" s="8" t="s">
        <v>422</v>
      </c>
      <c r="F128" s="7" t="s">
        <v>18</v>
      </c>
      <c r="G128" s="7" t="s">
        <v>128</v>
      </c>
      <c r="H128" s="8" t="str">
        <f t="shared" si="2"/>
        <v>9.1.2. Fixed Cost - Beehive Box (No) sr1fc_beehive_box_number</v>
      </c>
      <c r="I128" s="9"/>
      <c r="J128" s="9"/>
      <c r="K128" s="8" t="s">
        <v>423</v>
      </c>
      <c r="L128" s="9"/>
      <c r="M128" s="9"/>
      <c r="N128" s="9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</row>
    <row r="129" spans="1:31" x14ac:dyDescent="0.25">
      <c r="A129" s="7" t="s">
        <v>424</v>
      </c>
      <c r="B129" s="8" t="s">
        <v>425</v>
      </c>
      <c r="C129" s="8"/>
      <c r="D129" s="8" t="s">
        <v>426</v>
      </c>
      <c r="E129" s="8" t="s">
        <v>427</v>
      </c>
      <c r="F129" s="7" t="s">
        <v>18</v>
      </c>
      <c r="G129" s="7" t="s">
        <v>128</v>
      </c>
      <c r="H129" s="8" t="str">
        <f t="shared" si="2"/>
        <v>9.1.3. Fixed Cost - Box Cost Per Box (Rs.) sr1fc_per_box_cost</v>
      </c>
      <c r="I129" s="9"/>
      <c r="J129" s="9"/>
      <c r="K129" s="8" t="s">
        <v>423</v>
      </c>
      <c r="L129" s="9"/>
      <c r="M129" s="9"/>
      <c r="N129" s="9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</row>
    <row r="130" spans="1:31" x14ac:dyDescent="0.25">
      <c r="A130" s="7" t="s">
        <v>428</v>
      </c>
      <c r="B130" s="8" t="s">
        <v>429</v>
      </c>
      <c r="C130" s="8"/>
      <c r="D130" s="8" t="s">
        <v>430</v>
      </c>
      <c r="E130" s="8" t="s">
        <v>431</v>
      </c>
      <c r="F130" s="7" t="s">
        <v>18</v>
      </c>
      <c r="G130" s="7" t="s">
        <v>128</v>
      </c>
      <c r="H130" s="8" t="str">
        <f t="shared" si="2"/>
        <v>9.1.4. Fixed Cost - Own Capital (Rs.) sr1fc_own_capital</v>
      </c>
      <c r="I130" s="9"/>
      <c r="J130" s="9"/>
      <c r="K130" s="8" t="s">
        <v>423</v>
      </c>
      <c r="L130" s="9"/>
      <c r="M130" s="9"/>
      <c r="N130" s="9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</row>
    <row r="131" spans="1:31" x14ac:dyDescent="0.25">
      <c r="A131" s="7" t="s">
        <v>432</v>
      </c>
      <c r="B131" s="8" t="s">
        <v>433</v>
      </c>
      <c r="C131" s="8"/>
      <c r="D131" s="8" t="s">
        <v>434</v>
      </c>
      <c r="E131" s="8" t="s">
        <v>435</v>
      </c>
      <c r="F131" s="7" t="s">
        <v>18</v>
      </c>
      <c r="G131" s="7" t="s">
        <v>128</v>
      </c>
      <c r="H131" s="8" t="str">
        <f t="shared" si="2"/>
        <v>9.1.5. Fixed Cost - Borrowed Capital (Rs.) sr1fc_borrowed_capital</v>
      </c>
      <c r="I131" s="9"/>
      <c r="J131" s="9"/>
      <c r="K131" s="8" t="s">
        <v>423</v>
      </c>
      <c r="L131" s="9"/>
      <c r="M131" s="9"/>
      <c r="N131" s="9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</row>
    <row r="132" spans="1:31" x14ac:dyDescent="0.25">
      <c r="A132" s="7" t="s">
        <v>436</v>
      </c>
      <c r="B132" s="8" t="s">
        <v>437</v>
      </c>
      <c r="C132" s="8"/>
      <c r="D132" s="8" t="s">
        <v>438</v>
      </c>
      <c r="E132" s="8" t="s">
        <v>439</v>
      </c>
      <c r="F132" s="7" t="s">
        <v>18</v>
      </c>
      <c r="G132" s="7" t="s">
        <v>128</v>
      </c>
      <c r="H132" s="8" t="str">
        <f t="shared" si="2"/>
        <v>9.1.6. Fixed Cost - Interest on Borrowed Capital (Rs.) sr1fc_borrowed_capital_intrest</v>
      </c>
      <c r="I132" s="9"/>
      <c r="J132" s="9"/>
      <c r="K132" s="8" t="s">
        <v>423</v>
      </c>
      <c r="L132" s="9"/>
      <c r="M132" s="9"/>
      <c r="N132" s="9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</row>
    <row r="133" spans="1:31" x14ac:dyDescent="0.25">
      <c r="A133" s="7" t="s">
        <v>181</v>
      </c>
      <c r="B133" s="9"/>
      <c r="C133" s="15"/>
      <c r="D133" s="15" t="s">
        <v>440</v>
      </c>
      <c r="E133" s="15" t="s">
        <v>441</v>
      </c>
      <c r="F133" s="9"/>
      <c r="G133" s="9"/>
      <c r="H133" s="15" t="str">
        <f t="shared" si="2"/>
        <v xml:space="preserve"># Variable Cost </v>
      </c>
      <c r="I133" s="9"/>
      <c r="J133" s="9"/>
      <c r="K133" s="9"/>
      <c r="L133" s="9"/>
      <c r="M133" s="9"/>
      <c r="N133" s="9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</row>
    <row r="134" spans="1:31" x14ac:dyDescent="0.25">
      <c r="A134" s="7" t="s">
        <v>442</v>
      </c>
      <c r="B134" s="8" t="s">
        <v>443</v>
      </c>
      <c r="C134" s="8"/>
      <c r="D134" s="8" t="s">
        <v>444</v>
      </c>
      <c r="E134" s="8" t="s">
        <v>445</v>
      </c>
      <c r="F134" s="7" t="s">
        <v>18</v>
      </c>
      <c r="G134" s="7" t="s">
        <v>128</v>
      </c>
      <c r="H134" s="8" t="str">
        <f t="shared" si="2"/>
        <v>9.1.7. Variable Cost - Un-Skilled Labor (No.) sr1vc_labour_number</v>
      </c>
      <c r="I134" s="9"/>
      <c r="J134" s="9"/>
      <c r="K134" s="8" t="s">
        <v>423</v>
      </c>
      <c r="L134" s="9"/>
      <c r="M134" s="9"/>
      <c r="N134" s="9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</row>
    <row r="135" spans="1:31" x14ac:dyDescent="0.25">
      <c r="A135" s="7" t="s">
        <v>446</v>
      </c>
      <c r="B135" s="8" t="s">
        <v>447</v>
      </c>
      <c r="C135" s="8"/>
      <c r="D135" s="8" t="s">
        <v>448</v>
      </c>
      <c r="E135" s="8" t="s">
        <v>449</v>
      </c>
      <c r="F135" s="7" t="s">
        <v>18</v>
      </c>
      <c r="G135" s="7" t="s">
        <v>128</v>
      </c>
      <c r="H135" s="8" t="str">
        <f t="shared" si="2"/>
        <v>9.1.8. Variable Cost - Workers (Day No.) sr1vc_worker_day_number</v>
      </c>
      <c r="I135" s="9"/>
      <c r="J135" s="9"/>
      <c r="K135" s="8" t="s">
        <v>423</v>
      </c>
      <c r="L135" s="9"/>
      <c r="M135" s="9"/>
      <c r="N135" s="9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</row>
    <row r="136" spans="1:31" x14ac:dyDescent="0.25">
      <c r="A136" s="7" t="s">
        <v>450</v>
      </c>
      <c r="B136" s="8" t="s">
        <v>451</v>
      </c>
      <c r="C136" s="8"/>
      <c r="D136" s="8" t="s">
        <v>452</v>
      </c>
      <c r="E136" s="8" t="s">
        <v>453</v>
      </c>
      <c r="F136" s="7" t="s">
        <v>18</v>
      </c>
      <c r="G136" s="7" t="s">
        <v>128</v>
      </c>
      <c r="H136" s="8" t="str">
        <f t="shared" si="2"/>
        <v>9.1.9. Variable Cost - Wages per Worker (Rs. / Day) sr1vc_per_worker_wage</v>
      </c>
      <c r="I136" s="9"/>
      <c r="J136" s="9"/>
      <c r="K136" s="8" t="s">
        <v>423</v>
      </c>
      <c r="L136" s="9"/>
      <c r="M136" s="9"/>
      <c r="N136" s="9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</row>
    <row r="137" spans="1:31" x14ac:dyDescent="0.25">
      <c r="A137" s="23" t="s">
        <v>454</v>
      </c>
      <c r="B137" s="8" t="s">
        <v>455</v>
      </c>
      <c r="C137" s="8"/>
      <c r="D137" s="8" t="s">
        <v>456</v>
      </c>
      <c r="E137" s="8" t="s">
        <v>457</v>
      </c>
      <c r="F137" s="7" t="s">
        <v>18</v>
      </c>
      <c r="G137" s="7" t="s">
        <v>458</v>
      </c>
      <c r="H137" s="8" t="str">
        <f t="shared" si="2"/>
        <v>9.1.10. Variable Cost - Total Cost of Unskilled Labours (In Rs) sr1vc_total_unskilled_labour_cost</v>
      </c>
      <c r="I137" s="9"/>
      <c r="J137" s="9"/>
      <c r="K137" s="8" t="s">
        <v>423</v>
      </c>
      <c r="L137" s="9"/>
      <c r="M137" s="9"/>
      <c r="N137" s="9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</row>
    <row r="138" spans="1:31" x14ac:dyDescent="0.25">
      <c r="A138" s="7" t="s">
        <v>459</v>
      </c>
      <c r="B138" s="8" t="s">
        <v>460</v>
      </c>
      <c r="C138" s="8"/>
      <c r="D138" s="8" t="s">
        <v>461</v>
      </c>
      <c r="E138" s="8" t="s">
        <v>462</v>
      </c>
      <c r="F138" s="7" t="s">
        <v>18</v>
      </c>
      <c r="G138" s="7" t="s">
        <v>128</v>
      </c>
      <c r="H138" s="8" t="str">
        <f t="shared" si="2"/>
        <v>9.1.11. Variable Cost - Skilled Labor (No.) sr1vc_skilledlabour_number</v>
      </c>
      <c r="I138" s="9"/>
      <c r="J138" s="9"/>
      <c r="K138" s="8" t="s">
        <v>423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spans="1:31" x14ac:dyDescent="0.25">
      <c r="A139" s="7" t="s">
        <v>459</v>
      </c>
      <c r="B139" s="8" t="s">
        <v>463</v>
      </c>
      <c r="C139" s="8"/>
      <c r="D139" s="8" t="s">
        <v>464</v>
      </c>
      <c r="E139" s="8" t="s">
        <v>465</v>
      </c>
      <c r="F139" s="7" t="s">
        <v>18</v>
      </c>
      <c r="G139" s="7" t="s">
        <v>128</v>
      </c>
      <c r="H139" s="8" t="str">
        <f t="shared" si="2"/>
        <v>9.1.11. Variable Cost - Skilled Workers (Day No.) sr1vc_skilledworker_day_number</v>
      </c>
      <c r="I139" s="9"/>
      <c r="J139" s="9"/>
      <c r="K139" s="8" t="s">
        <v>423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spans="1:31" x14ac:dyDescent="0.25">
      <c r="A140" s="7" t="s">
        <v>466</v>
      </c>
      <c r="B140" s="8" t="s">
        <v>467</v>
      </c>
      <c r="C140" s="8"/>
      <c r="D140" s="8" t="s">
        <v>468</v>
      </c>
      <c r="E140" s="8" t="s">
        <v>469</v>
      </c>
      <c r="F140" s="7" t="s">
        <v>18</v>
      </c>
      <c r="G140" s="7" t="s">
        <v>128</v>
      </c>
      <c r="H140" s="8" t="str">
        <f t="shared" si="2"/>
        <v>9.1.12. Variable Cost - Skilled Wages per Worker (Rs. / Day) sr1vc_per_worker_skilledwage</v>
      </c>
      <c r="I140" s="9"/>
      <c r="J140" s="9"/>
      <c r="K140" s="8" t="s">
        <v>423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spans="1:31" x14ac:dyDescent="0.25">
      <c r="A141" s="23" t="s">
        <v>470</v>
      </c>
      <c r="B141" s="8" t="s">
        <v>471</v>
      </c>
      <c r="C141" s="8"/>
      <c r="D141" s="8" t="s">
        <v>472</v>
      </c>
      <c r="E141" s="8" t="s">
        <v>473</v>
      </c>
      <c r="F141" s="7" t="s">
        <v>474</v>
      </c>
      <c r="G141" s="9"/>
      <c r="H141" s="8" t="str">
        <f t="shared" si="2"/>
        <v>9.1.14. Variable Cost - Total Cost of Skilled Labours (In Rs) sr1vc_total_skilled_labour_cost</v>
      </c>
      <c r="I141" s="9"/>
      <c r="J141" s="9"/>
      <c r="K141" s="8" t="s">
        <v>423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spans="1:31" x14ac:dyDescent="0.25">
      <c r="A142" s="7" t="s">
        <v>475</v>
      </c>
      <c r="B142" s="8" t="s">
        <v>476</v>
      </c>
      <c r="C142" s="8"/>
      <c r="D142" s="8" t="s">
        <v>477</v>
      </c>
      <c r="E142" s="8" t="s">
        <v>478</v>
      </c>
      <c r="F142" s="7" t="s">
        <v>18</v>
      </c>
      <c r="G142" s="7" t="s">
        <v>128</v>
      </c>
      <c r="H142" s="8" t="str">
        <f t="shared" si="2"/>
        <v>9.1.15. Variable Cost - Family Labor (Day No.) sr1vc_family_labour_day_number</v>
      </c>
      <c r="I142" s="9"/>
      <c r="J142" s="9"/>
      <c r="K142" s="8" t="s">
        <v>423</v>
      </c>
      <c r="L142" s="9"/>
      <c r="M142" s="9"/>
      <c r="N142" s="9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</row>
    <row r="143" spans="1:31" x14ac:dyDescent="0.25">
      <c r="A143" s="7" t="s">
        <v>479</v>
      </c>
      <c r="B143" s="8" t="s">
        <v>480</v>
      </c>
      <c r="C143" s="8"/>
      <c r="D143" s="8" t="s">
        <v>481</v>
      </c>
      <c r="E143" s="8" t="s">
        <v>482</v>
      </c>
      <c r="F143" s="7" t="s">
        <v>18</v>
      </c>
      <c r="G143" s="7" t="s">
        <v>128</v>
      </c>
      <c r="H143" s="8" t="str">
        <f t="shared" si="2"/>
        <v>9.1.16. Variable Cost - Raw Material (Rs.) sr1vc_raw_material</v>
      </c>
      <c r="I143" s="9"/>
      <c r="J143" s="9"/>
      <c r="K143" s="8" t="s">
        <v>423</v>
      </c>
      <c r="L143" s="9"/>
      <c r="M143" s="9"/>
      <c r="N143" s="9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</row>
    <row r="144" spans="1:31" x14ac:dyDescent="0.25">
      <c r="A144" s="7" t="s">
        <v>483</v>
      </c>
      <c r="B144" s="8" t="s">
        <v>484</v>
      </c>
      <c r="C144" s="8"/>
      <c r="D144" s="8" t="s">
        <v>485</v>
      </c>
      <c r="E144" s="8" t="s">
        <v>486</v>
      </c>
      <c r="F144" s="7" t="s">
        <v>18</v>
      </c>
      <c r="G144" s="7" t="s">
        <v>128</v>
      </c>
      <c r="H144" s="8" t="str">
        <f t="shared" si="2"/>
        <v>9.1.17. Variable Cost - Price of Sugar (Rs.) sr1vc_sugar_price</v>
      </c>
      <c r="I144" s="9"/>
      <c r="J144" s="9"/>
      <c r="K144" s="8" t="s">
        <v>423</v>
      </c>
      <c r="L144" s="9"/>
      <c r="M144" s="9"/>
      <c r="N144" s="9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</row>
    <row r="145" spans="1:31" x14ac:dyDescent="0.25">
      <c r="A145" s="7" t="s">
        <v>487</v>
      </c>
      <c r="B145" s="8" t="s">
        <v>488</v>
      </c>
      <c r="C145" s="8"/>
      <c r="D145" s="8" t="s">
        <v>489</v>
      </c>
      <c r="E145" s="8" t="s">
        <v>490</v>
      </c>
      <c r="F145" s="7" t="s">
        <v>18</v>
      </c>
      <c r="G145" s="7" t="s">
        <v>128</v>
      </c>
      <c r="H145" s="8" t="str">
        <f t="shared" si="2"/>
        <v>9.1.18. Variable Cost - Pest Management Cost (Rs) sr1vc_pest_management_cost</v>
      </c>
      <c r="I145" s="9"/>
      <c r="J145" s="9"/>
      <c r="K145" s="8" t="s">
        <v>423</v>
      </c>
      <c r="L145" s="9"/>
      <c r="M145" s="9"/>
      <c r="N145" s="9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</row>
    <row r="146" spans="1:31" x14ac:dyDescent="0.25">
      <c r="A146" s="7" t="s">
        <v>491</v>
      </c>
      <c r="B146" s="8" t="s">
        <v>492</v>
      </c>
      <c r="C146" s="8"/>
      <c r="D146" s="8" t="s">
        <v>493</v>
      </c>
      <c r="E146" s="8" t="s">
        <v>494</v>
      </c>
      <c r="F146" s="7" t="s">
        <v>18</v>
      </c>
      <c r="G146" s="7" t="s">
        <v>128</v>
      </c>
      <c r="H146" s="8" t="str">
        <f t="shared" si="2"/>
        <v>9.1.19. Variable Cost - Water Cost (Rs) sr1vc_water_cost</v>
      </c>
      <c r="I146" s="9"/>
      <c r="J146" s="9"/>
      <c r="K146" s="8" t="s">
        <v>423</v>
      </c>
      <c r="L146" s="9"/>
      <c r="M146" s="9"/>
      <c r="N146" s="9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</row>
    <row r="147" spans="1:31" x14ac:dyDescent="0.25">
      <c r="A147" s="7" t="s">
        <v>495</v>
      </c>
      <c r="B147" s="8" t="s">
        <v>496</v>
      </c>
      <c r="C147" s="8"/>
      <c r="D147" s="8" t="s">
        <v>497</v>
      </c>
      <c r="E147" s="8" t="s">
        <v>498</v>
      </c>
      <c r="F147" s="7" t="s">
        <v>18</v>
      </c>
      <c r="G147" s="7" t="s">
        <v>128</v>
      </c>
      <c r="H147" s="8" t="str">
        <f t="shared" si="2"/>
        <v>9.1.20. Variable Cost - Electricity Cost (Rs) sr1vc_electricity_cost</v>
      </c>
      <c r="I147" s="9"/>
      <c r="J147" s="9"/>
      <c r="K147" s="8" t="s">
        <v>423</v>
      </c>
      <c r="L147" s="9"/>
      <c r="M147" s="9"/>
      <c r="N147" s="9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</row>
    <row r="148" spans="1:31" x14ac:dyDescent="0.25">
      <c r="A148" s="7" t="s">
        <v>499</v>
      </c>
      <c r="B148" s="8" t="s">
        <v>500</v>
      </c>
      <c r="C148" s="8"/>
      <c r="D148" s="8" t="s">
        <v>501</v>
      </c>
      <c r="E148" s="8" t="s">
        <v>502</v>
      </c>
      <c r="F148" s="7" t="s">
        <v>18</v>
      </c>
      <c r="G148" s="7" t="s">
        <v>128</v>
      </c>
      <c r="H148" s="8" t="str">
        <f t="shared" si="2"/>
        <v>9.1.21. Variable Cost - Picking cost (Rs) sr1vc_picking_cost</v>
      </c>
      <c r="I148" s="9"/>
      <c r="J148" s="9"/>
      <c r="K148" s="8" t="s">
        <v>423</v>
      </c>
      <c r="L148" s="9"/>
      <c r="M148" s="9"/>
      <c r="N148" s="9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</row>
    <row r="149" spans="1:31" x14ac:dyDescent="0.25">
      <c r="A149" s="7" t="s">
        <v>503</v>
      </c>
      <c r="B149" s="8" t="s">
        <v>504</v>
      </c>
      <c r="C149" s="8"/>
      <c r="D149" s="8" t="s">
        <v>505</v>
      </c>
      <c r="E149" s="8" t="s">
        <v>506</v>
      </c>
      <c r="F149" s="7" t="s">
        <v>18</v>
      </c>
      <c r="G149" s="7" t="s">
        <v>128</v>
      </c>
      <c r="H149" s="8" t="str">
        <f t="shared" si="2"/>
        <v>9.1.22. Variable Cost - Packing cost (Rs) sr1vc_packing_cost</v>
      </c>
      <c r="I149" s="9"/>
      <c r="J149" s="9"/>
      <c r="K149" s="8" t="s">
        <v>423</v>
      </c>
      <c r="L149" s="9"/>
      <c r="M149" s="9"/>
      <c r="N149" s="9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</row>
    <row r="150" spans="1:31" x14ac:dyDescent="0.25">
      <c r="A150" s="7" t="s">
        <v>507</v>
      </c>
      <c r="B150" s="8" t="s">
        <v>508</v>
      </c>
      <c r="C150" s="8"/>
      <c r="D150" s="8" t="s">
        <v>509</v>
      </c>
      <c r="E150" s="8" t="s">
        <v>510</v>
      </c>
      <c r="F150" s="7" t="s">
        <v>18</v>
      </c>
      <c r="G150" s="7" t="s">
        <v>128</v>
      </c>
      <c r="H150" s="8" t="str">
        <f t="shared" si="2"/>
        <v>9.1.23. Variable Cost - Transportation cost (Rs) sr1vc_transportation_cost</v>
      </c>
      <c r="I150" s="9"/>
      <c r="J150" s="9"/>
      <c r="K150" s="8" t="s">
        <v>423</v>
      </c>
      <c r="L150" s="9"/>
      <c r="M150" s="9"/>
      <c r="N150" s="9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</row>
    <row r="151" spans="1:31" x14ac:dyDescent="0.25">
      <c r="A151" s="7" t="s">
        <v>511</v>
      </c>
      <c r="B151" s="8" t="s">
        <v>512</v>
      </c>
      <c r="C151" s="8"/>
      <c r="D151" s="8" t="s">
        <v>513</v>
      </c>
      <c r="E151" s="8" t="s">
        <v>514</v>
      </c>
      <c r="F151" s="7" t="s">
        <v>18</v>
      </c>
      <c r="G151" s="7" t="s">
        <v>128</v>
      </c>
      <c r="H151" s="8" t="str">
        <f t="shared" si="2"/>
        <v>9.1.24. Variable Cost - Miscellaneous expenses (Rs) sr1vc_miscellaneous_expenses</v>
      </c>
      <c r="I151" s="9"/>
      <c r="J151" s="9"/>
      <c r="K151" s="8" t="s">
        <v>423</v>
      </c>
      <c r="L151" s="9"/>
      <c r="M151" s="9"/>
      <c r="N151" s="9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</row>
    <row r="152" spans="1:31" x14ac:dyDescent="0.25">
      <c r="A152" s="23" t="s">
        <v>515</v>
      </c>
      <c r="B152" s="8" t="s">
        <v>516</v>
      </c>
      <c r="C152" s="8"/>
      <c r="D152" s="8" t="s">
        <v>517</v>
      </c>
      <c r="E152" s="8" t="s">
        <v>518</v>
      </c>
      <c r="F152" s="7" t="s">
        <v>519</v>
      </c>
      <c r="G152" s="9"/>
      <c r="H152" s="8" t="str">
        <f t="shared" si="2"/>
        <v>9.1.25. Variable Cost - Total of Variable Costs (Rs) sr1vc_total_of_variable_costs</v>
      </c>
      <c r="I152" s="9"/>
      <c r="J152" s="9"/>
      <c r="K152" s="8" t="s">
        <v>423</v>
      </c>
      <c r="L152" s="9"/>
      <c r="M152" s="9"/>
      <c r="N152" s="9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</row>
    <row r="153" spans="1:31" x14ac:dyDescent="0.25">
      <c r="A153" s="23" t="s">
        <v>520</v>
      </c>
      <c r="B153" s="8" t="s">
        <v>521</v>
      </c>
      <c r="C153" s="8"/>
      <c r="D153" s="8" t="s">
        <v>522</v>
      </c>
      <c r="E153" s="8" t="s">
        <v>523</v>
      </c>
      <c r="F153" s="7" t="s">
        <v>524</v>
      </c>
      <c r="G153" s="9"/>
      <c r="H153" s="8" t="str">
        <f t="shared" si="2"/>
        <v>9.1.26. Variable Cost - Profit (Rs) sr1vc_profit</v>
      </c>
      <c r="I153" s="9"/>
      <c r="J153" s="9"/>
      <c r="K153" s="8" t="s">
        <v>423</v>
      </c>
      <c r="L153" s="9"/>
      <c r="M153" s="9"/>
      <c r="N153" s="9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</row>
    <row r="154" spans="1:31" x14ac:dyDescent="0.25">
      <c r="A154" s="4">
        <v>10</v>
      </c>
      <c r="B154" s="5"/>
      <c r="C154" s="24"/>
      <c r="D154" s="24" t="s">
        <v>525</v>
      </c>
      <c r="E154" s="24" t="s">
        <v>526</v>
      </c>
      <c r="F154" s="4" t="s">
        <v>184</v>
      </c>
      <c r="G154" s="5"/>
      <c r="H154" s="24" t="str">
        <f t="shared" si="2"/>
        <v xml:space="preserve">10 Details of loss in Production under Beekeeping </v>
      </c>
      <c r="I154" s="5"/>
      <c r="J154" s="5"/>
      <c r="K154" s="5"/>
      <c r="L154" s="5"/>
      <c r="M154" s="5"/>
      <c r="N154" s="5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</row>
    <row r="155" spans="1:31" x14ac:dyDescent="0.25">
      <c r="A155" s="7" t="s">
        <v>527</v>
      </c>
      <c r="B155" s="8" t="s">
        <v>528</v>
      </c>
      <c r="C155" s="8"/>
      <c r="D155" s="8" t="s">
        <v>525</v>
      </c>
      <c r="E155" s="8" t="s">
        <v>526</v>
      </c>
      <c r="F155" s="7" t="s">
        <v>123</v>
      </c>
      <c r="G155" s="9"/>
      <c r="H155" s="8" t="str">
        <f t="shared" si="2"/>
        <v>10.1. Details of loss in Production under Beekeeping preloss1_beekeeping_production</v>
      </c>
      <c r="I155" s="9"/>
      <c r="J155" s="9"/>
      <c r="K155" s="9"/>
      <c r="L155" s="8" t="s">
        <v>124</v>
      </c>
      <c r="M155" s="9"/>
      <c r="N155" s="9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</row>
    <row r="156" spans="1:31" x14ac:dyDescent="0.25">
      <c r="A156" s="12" t="s">
        <v>181</v>
      </c>
      <c r="B156" s="3"/>
      <c r="C156" s="21"/>
      <c r="D156" s="21" t="s">
        <v>529</v>
      </c>
      <c r="E156" s="21" t="s">
        <v>530</v>
      </c>
      <c r="F156" s="12" t="s">
        <v>96</v>
      </c>
      <c r="G156" s="3"/>
      <c r="H156" s="21" t="str">
        <f t="shared" si="2"/>
        <v xml:space="preserve"># Pre-Loss of Beekeeping Production (Quantity) </v>
      </c>
      <c r="I156" s="3"/>
      <c r="J156" s="3"/>
      <c r="K156" s="21" t="s">
        <v>531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x14ac:dyDescent="0.25">
      <c r="A157" s="7" t="s">
        <v>532</v>
      </c>
      <c r="B157" s="8" t="s">
        <v>533</v>
      </c>
      <c r="C157" s="8"/>
      <c r="D157" s="8" t="s">
        <v>534</v>
      </c>
      <c r="E157" s="8" t="s">
        <v>535</v>
      </c>
      <c r="F157" s="7" t="s">
        <v>226</v>
      </c>
      <c r="G157" s="9"/>
      <c r="H157" s="8" t="str">
        <f t="shared" si="2"/>
        <v>10.1.1 Natural Calamitie sr1_pree_loss_ncpl</v>
      </c>
      <c r="I157" s="9"/>
      <c r="J157" s="9"/>
      <c r="K157" s="8" t="s">
        <v>531</v>
      </c>
      <c r="L157" s="8" t="s">
        <v>536</v>
      </c>
      <c r="M157" s="8" t="s">
        <v>537</v>
      </c>
      <c r="N157" s="9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</row>
    <row r="158" spans="1:31" x14ac:dyDescent="0.25">
      <c r="A158" s="7" t="s">
        <v>538</v>
      </c>
      <c r="B158" s="8" t="s">
        <v>539</v>
      </c>
      <c r="C158" s="8"/>
      <c r="D158" s="8" t="s">
        <v>540</v>
      </c>
      <c r="E158" s="8" t="s">
        <v>541</v>
      </c>
      <c r="F158" s="7" t="s">
        <v>18</v>
      </c>
      <c r="G158" s="9"/>
      <c r="H158" s="8" t="str">
        <f t="shared" si="2"/>
        <v>10.1.1.1 Natural Calamitie (Loss) sr1_pree_loss_ncpl_count</v>
      </c>
      <c r="I158" s="9"/>
      <c r="J158" s="9"/>
      <c r="K158" s="8" t="s">
        <v>531</v>
      </c>
      <c r="L158" s="9"/>
      <c r="M158" s="8" t="s">
        <v>537</v>
      </c>
      <c r="N158" s="9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</row>
    <row r="159" spans="1:31" x14ac:dyDescent="0.25">
      <c r="A159" s="7" t="s">
        <v>542</v>
      </c>
      <c r="B159" s="8" t="s">
        <v>543</v>
      </c>
      <c r="C159" s="8"/>
      <c r="D159" s="8" t="s">
        <v>544</v>
      </c>
      <c r="E159" s="8" t="s">
        <v>545</v>
      </c>
      <c r="F159" s="7" t="s">
        <v>226</v>
      </c>
      <c r="G159" s="9"/>
      <c r="H159" s="8" t="str">
        <f t="shared" si="2"/>
        <v>10.1.2 Due to Diseases and Pests sr1_pree_loss_dppl</v>
      </c>
      <c r="I159" s="9"/>
      <c r="J159" s="9"/>
      <c r="K159" s="8" t="s">
        <v>531</v>
      </c>
      <c r="L159" s="8" t="s">
        <v>546</v>
      </c>
      <c r="M159" s="8" t="s">
        <v>547</v>
      </c>
      <c r="N159" s="9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</row>
    <row r="160" spans="1:31" x14ac:dyDescent="0.25">
      <c r="A160" s="7" t="s">
        <v>548</v>
      </c>
      <c r="B160" s="8" t="s">
        <v>549</v>
      </c>
      <c r="C160" s="8"/>
      <c r="D160" s="8" t="s">
        <v>550</v>
      </c>
      <c r="E160" s="8" t="s">
        <v>551</v>
      </c>
      <c r="F160" s="7" t="s">
        <v>18</v>
      </c>
      <c r="G160" s="9"/>
      <c r="H160" s="8" t="str">
        <f t="shared" si="2"/>
        <v>10.1.2.1. Due to Diseases and Pests (Loss) sr1_pree_loss_dppl_count</v>
      </c>
      <c r="I160" s="9"/>
      <c r="J160" s="9"/>
      <c r="K160" s="8" t="s">
        <v>531</v>
      </c>
      <c r="L160" s="9"/>
      <c r="M160" s="8" t="s">
        <v>547</v>
      </c>
      <c r="N160" s="9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</row>
    <row r="161" spans="1:31" x14ac:dyDescent="0.25">
      <c r="A161" s="7" t="s">
        <v>552</v>
      </c>
      <c r="B161" s="8" t="s">
        <v>553</v>
      </c>
      <c r="C161" s="8"/>
      <c r="D161" s="8" t="s">
        <v>554</v>
      </c>
      <c r="E161" s="8" t="s">
        <v>555</v>
      </c>
      <c r="F161" s="7" t="s">
        <v>18</v>
      </c>
      <c r="G161" s="9"/>
      <c r="H161" s="8" t="str">
        <f t="shared" si="2"/>
        <v>10.1.3 Due to Stray / Wild Animals sr1_pree_loss_swapl</v>
      </c>
      <c r="I161" s="9"/>
      <c r="J161" s="9"/>
      <c r="K161" s="8" t="s">
        <v>531</v>
      </c>
      <c r="L161" s="9"/>
      <c r="M161" s="9"/>
      <c r="N161" s="9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</row>
    <row r="162" spans="1:31" x14ac:dyDescent="0.25">
      <c r="A162" s="7" t="s">
        <v>556</v>
      </c>
      <c r="B162" s="8" t="s">
        <v>557</v>
      </c>
      <c r="C162" s="8"/>
      <c r="D162" s="8" t="s">
        <v>558</v>
      </c>
      <c r="E162" s="8" t="s">
        <v>559</v>
      </c>
      <c r="F162" s="7" t="s">
        <v>18</v>
      </c>
      <c r="G162" s="9"/>
      <c r="H162" s="8" t="str">
        <f t="shared" si="2"/>
        <v>10.1.4 Side effects of Chemical Medicines sr1_pree_loss_secmpl</v>
      </c>
      <c r="I162" s="9"/>
      <c r="J162" s="9"/>
      <c r="K162" s="8" t="s">
        <v>531</v>
      </c>
      <c r="L162" s="9"/>
      <c r="M162" s="9"/>
      <c r="N162" s="9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</row>
    <row r="163" spans="1:31" x14ac:dyDescent="0.25">
      <c r="A163" s="23" t="s">
        <v>560</v>
      </c>
      <c r="B163" s="8" t="s">
        <v>561</v>
      </c>
      <c r="C163" s="8"/>
      <c r="D163" s="8" t="s">
        <v>562</v>
      </c>
      <c r="E163" s="8" t="s">
        <v>563</v>
      </c>
      <c r="F163" s="25" t="s">
        <v>564</v>
      </c>
      <c r="G163" s="9"/>
      <c r="H163" s="8" t="str">
        <f t="shared" si="2"/>
        <v>10.1.5 Total Pre-Loss of Beekeeping Production - Quantity (Kg) sr1_pree_loss_total</v>
      </c>
      <c r="I163" s="9"/>
      <c r="J163" s="9"/>
      <c r="K163" s="8" t="s">
        <v>531</v>
      </c>
      <c r="L163" s="9"/>
      <c r="M163" s="9"/>
      <c r="N163" s="9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</row>
    <row r="164" spans="1:31" x14ac:dyDescent="0.25">
      <c r="A164" s="12" t="s">
        <v>181</v>
      </c>
      <c r="B164" s="3"/>
      <c r="C164" s="21"/>
      <c r="D164" s="21" t="s">
        <v>565</v>
      </c>
      <c r="E164" s="21" t="s">
        <v>566</v>
      </c>
      <c r="F164" s="12" t="s">
        <v>96</v>
      </c>
      <c r="G164" s="3"/>
      <c r="H164" s="21" t="str">
        <f t="shared" si="2"/>
        <v xml:space="preserve"># Loss after Beekeeping Production (Quantity) </v>
      </c>
      <c r="I164" s="3"/>
      <c r="J164" s="3"/>
      <c r="K164" s="21" t="s">
        <v>531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x14ac:dyDescent="0.25">
      <c r="A165" s="7" t="s">
        <v>567</v>
      </c>
      <c r="B165" s="8" t="s">
        <v>568</v>
      </c>
      <c r="C165" s="8"/>
      <c r="D165" s="8" t="s">
        <v>569</v>
      </c>
      <c r="E165" s="8" t="s">
        <v>570</v>
      </c>
      <c r="F165" s="7" t="s">
        <v>18</v>
      </c>
      <c r="G165" s="9"/>
      <c r="H165" s="8" t="str">
        <f t="shared" si="2"/>
        <v>10.1.6 Loss in Washing / Branding / Packaging sr1_loss_after_wbpla</v>
      </c>
      <c r="I165" s="9"/>
      <c r="J165" s="9"/>
      <c r="K165" s="8" t="s">
        <v>531</v>
      </c>
      <c r="L165" s="9"/>
      <c r="M165" s="9"/>
      <c r="N165" s="9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</row>
    <row r="166" spans="1:31" x14ac:dyDescent="0.25">
      <c r="A166" s="7" t="s">
        <v>571</v>
      </c>
      <c r="B166" s="8" t="s">
        <v>572</v>
      </c>
      <c r="C166" s="8"/>
      <c r="D166" s="8" t="s">
        <v>573</v>
      </c>
      <c r="E166" s="8" t="s">
        <v>574</v>
      </c>
      <c r="F166" s="7" t="s">
        <v>18</v>
      </c>
      <c r="G166" s="9"/>
      <c r="H166" s="8" t="str">
        <f t="shared" si="2"/>
        <v>10.1.7 Transportation sr1_loss_after_tla</v>
      </c>
      <c r="I166" s="9"/>
      <c r="J166" s="9"/>
      <c r="K166" s="8" t="s">
        <v>531</v>
      </c>
      <c r="L166" s="9"/>
      <c r="M166" s="9"/>
      <c r="N166" s="9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</row>
    <row r="167" spans="1:31" x14ac:dyDescent="0.25">
      <c r="A167" s="7" t="s">
        <v>575</v>
      </c>
      <c r="B167" s="8" t="s">
        <v>576</v>
      </c>
      <c r="C167" s="8"/>
      <c r="D167" s="8" t="s">
        <v>577</v>
      </c>
      <c r="E167" s="8" t="s">
        <v>578</v>
      </c>
      <c r="F167" s="7" t="s">
        <v>18</v>
      </c>
      <c r="G167" s="9"/>
      <c r="H167" s="8" t="str">
        <f t="shared" si="2"/>
        <v>10.1.8 Crystallized Product unfit for Sale sr1_loss_after_cpusla</v>
      </c>
      <c r="I167" s="9"/>
      <c r="J167" s="9"/>
      <c r="K167" s="8" t="s">
        <v>531</v>
      </c>
      <c r="L167" s="9"/>
      <c r="M167" s="9"/>
      <c r="N167" s="9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</row>
    <row r="168" spans="1:31" x14ac:dyDescent="0.25">
      <c r="A168" s="7" t="s">
        <v>579</v>
      </c>
      <c r="B168" s="8" t="s">
        <v>580</v>
      </c>
      <c r="C168" s="8"/>
      <c r="D168" s="8" t="s">
        <v>581</v>
      </c>
      <c r="E168" s="8" t="s">
        <v>582</v>
      </c>
      <c r="F168" s="7" t="s">
        <v>18</v>
      </c>
      <c r="G168" s="9"/>
      <c r="H168" s="8" t="str">
        <f t="shared" si="2"/>
        <v>10.1.9 Destruction of Beehives sr1_loss_after_dbla</v>
      </c>
      <c r="I168" s="9"/>
      <c r="J168" s="9"/>
      <c r="K168" s="8" t="s">
        <v>531</v>
      </c>
      <c r="L168" s="9"/>
      <c r="M168" s="9"/>
      <c r="N168" s="9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</row>
    <row r="169" spans="1:31" x14ac:dyDescent="0.25">
      <c r="A169" s="7" t="s">
        <v>583</v>
      </c>
      <c r="B169" s="8" t="s">
        <v>584</v>
      </c>
      <c r="C169" s="8"/>
      <c r="D169" s="8" t="s">
        <v>585</v>
      </c>
      <c r="E169" s="8" t="s">
        <v>586</v>
      </c>
      <c r="F169" s="7" t="s">
        <v>18</v>
      </c>
      <c r="G169" s="9"/>
      <c r="H169" s="8" t="str">
        <f t="shared" si="2"/>
        <v>10.1.10 Reasons sr1_loss_after_rla</v>
      </c>
      <c r="I169" s="9"/>
      <c r="J169" s="9"/>
      <c r="K169" s="8" t="s">
        <v>531</v>
      </c>
      <c r="L169" s="9"/>
      <c r="M169" s="9"/>
      <c r="N169" s="9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</row>
    <row r="170" spans="1:31" x14ac:dyDescent="0.25">
      <c r="A170" s="23" t="s">
        <v>587</v>
      </c>
      <c r="B170" s="8" t="s">
        <v>588</v>
      </c>
      <c r="C170" s="8"/>
      <c r="D170" s="8" t="s">
        <v>589</v>
      </c>
      <c r="E170" s="8" t="s">
        <v>590</v>
      </c>
      <c r="F170" s="25" t="s">
        <v>591</v>
      </c>
      <c r="G170" s="9"/>
      <c r="H170" s="8" t="str">
        <f t="shared" si="2"/>
        <v>10.1.11 Total Loss after Beekeeping Production - Quantity (Kg) sr1_loss_after_total</v>
      </c>
      <c r="I170" s="9"/>
      <c r="J170" s="9"/>
      <c r="K170" s="8" t="s">
        <v>531</v>
      </c>
      <c r="L170" s="9"/>
      <c r="M170" s="9"/>
      <c r="N170" s="9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</row>
    <row r="171" spans="1:31" x14ac:dyDescent="0.25">
      <c r="A171" s="23" t="s">
        <v>592</v>
      </c>
      <c r="B171" s="8" t="s">
        <v>593</v>
      </c>
      <c r="C171" s="8"/>
      <c r="D171" s="8" t="s">
        <v>594</v>
      </c>
      <c r="E171" s="8" t="s">
        <v>595</v>
      </c>
      <c r="F171" s="25" t="s">
        <v>596</v>
      </c>
      <c r="G171" s="9"/>
      <c r="H171" s="8" t="str">
        <f t="shared" si="2"/>
        <v>10.1.12 Aggregate-Loss of Beekeeping Production (Kg) sr1_aggregate_loss_total</v>
      </c>
      <c r="I171" s="9"/>
      <c r="J171" s="9"/>
      <c r="K171" s="8" t="s">
        <v>531</v>
      </c>
      <c r="L171" s="9"/>
      <c r="M171" s="9"/>
      <c r="N171" s="9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</row>
    <row r="172" spans="1:31" x14ac:dyDescent="0.25">
      <c r="A172" s="5"/>
      <c r="B172" s="5"/>
      <c r="C172" s="24"/>
      <c r="D172" s="24" t="s">
        <v>597</v>
      </c>
      <c r="E172" s="24" t="s">
        <v>598</v>
      </c>
      <c r="F172" s="4" t="s">
        <v>184</v>
      </c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</row>
    <row r="173" spans="1:31" x14ac:dyDescent="0.25">
      <c r="A173" s="7">
        <v>11</v>
      </c>
      <c r="B173" s="8" t="s">
        <v>599</v>
      </c>
      <c r="C173" s="8"/>
      <c r="D173" s="8" t="s">
        <v>600</v>
      </c>
      <c r="E173" s="8" t="s">
        <v>598</v>
      </c>
      <c r="F173" s="7" t="s">
        <v>123</v>
      </c>
      <c r="G173" s="9"/>
      <c r="H173" s="8" t="str">
        <f t="shared" ref="H173:H427" si="3">CONCATENATE(A173, " ", D173, " ", B173)</f>
        <v>11 Are there empty Beehives left in your Beekeeping Boxes? is_empty_box</v>
      </c>
      <c r="I173" s="9"/>
      <c r="J173" s="9"/>
      <c r="K173" s="9"/>
      <c r="L173" s="8" t="s">
        <v>124</v>
      </c>
      <c r="M173" s="8" t="s">
        <v>601</v>
      </c>
      <c r="N173" s="9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</row>
    <row r="174" spans="1:31" x14ac:dyDescent="0.25">
      <c r="A174" s="7">
        <v>11.1</v>
      </c>
      <c r="B174" s="8" t="s">
        <v>602</v>
      </c>
      <c r="C174" s="8"/>
      <c r="D174" s="8" t="s">
        <v>603</v>
      </c>
      <c r="E174" s="8" t="s">
        <v>604</v>
      </c>
      <c r="F174" s="7" t="s">
        <v>18</v>
      </c>
      <c r="G174" s="9"/>
      <c r="H174" s="8" t="str">
        <f t="shared" si="3"/>
        <v>11.1 what is the number of empty Beehives you have? empty_box_number</v>
      </c>
      <c r="I174" s="9"/>
      <c r="J174" s="9"/>
      <c r="K174" s="8" t="s">
        <v>605</v>
      </c>
      <c r="L174" s="9"/>
      <c r="M174" s="9"/>
      <c r="N174" s="9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</row>
    <row r="175" spans="1:31" x14ac:dyDescent="0.25">
      <c r="A175" s="7">
        <v>12</v>
      </c>
      <c r="B175" s="8" t="s">
        <v>606</v>
      </c>
      <c r="C175" s="8"/>
      <c r="D175" s="8" t="s">
        <v>607</v>
      </c>
      <c r="E175" s="8" t="s">
        <v>608</v>
      </c>
      <c r="F175" s="7" t="s">
        <v>26</v>
      </c>
      <c r="G175" s="9"/>
      <c r="H175" s="8" t="str">
        <f t="shared" si="3"/>
        <v>12 Do you adopt ‘Protection’ and ‘Pest Management’ to prevent loss in Beekeeping? is_adopt_protection</v>
      </c>
      <c r="I175" s="9"/>
      <c r="J175" s="9"/>
      <c r="K175" s="9"/>
      <c r="L175" s="8" t="s">
        <v>124</v>
      </c>
      <c r="M175" s="8" t="s">
        <v>601</v>
      </c>
      <c r="N175" s="9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</row>
    <row r="176" spans="1:31" x14ac:dyDescent="0.25">
      <c r="A176" s="7">
        <v>12.1</v>
      </c>
      <c r="B176" s="8" t="s">
        <v>609</v>
      </c>
      <c r="C176" s="8"/>
      <c r="D176" s="8" t="s">
        <v>610</v>
      </c>
      <c r="E176" s="8" t="s">
        <v>611</v>
      </c>
      <c r="F176" s="7" t="s">
        <v>26</v>
      </c>
      <c r="G176" s="9"/>
      <c r="H176" s="8" t="str">
        <f t="shared" si="3"/>
        <v>12.1 what type of Protection and Pest Management? adopt_protection_type</v>
      </c>
      <c r="I176" s="9"/>
      <c r="J176" s="9"/>
      <c r="K176" s="8" t="s">
        <v>612</v>
      </c>
      <c r="L176" s="8" t="s">
        <v>613</v>
      </c>
      <c r="M176" s="8" t="s">
        <v>614</v>
      </c>
      <c r="N176" s="9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</row>
    <row r="177" spans="1:31" x14ac:dyDescent="0.25">
      <c r="A177" s="7">
        <v>12.2</v>
      </c>
      <c r="B177" s="8" t="s">
        <v>615</v>
      </c>
      <c r="C177" s="8"/>
      <c r="D177" s="8" t="s">
        <v>616</v>
      </c>
      <c r="E177" s="8" t="s">
        <v>617</v>
      </c>
      <c r="F177" s="7" t="s">
        <v>18</v>
      </c>
      <c r="G177" s="9"/>
      <c r="H177" s="8" t="str">
        <f t="shared" si="3"/>
        <v>12.2 Other Protection other_type_adopt_protection</v>
      </c>
      <c r="I177" s="9"/>
      <c r="J177" s="9"/>
      <c r="K177" s="8" t="s">
        <v>618</v>
      </c>
      <c r="L177" s="9"/>
      <c r="M177" s="9"/>
      <c r="N177" s="9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</row>
    <row r="178" spans="1:31" x14ac:dyDescent="0.25">
      <c r="A178" s="4">
        <v>13</v>
      </c>
      <c r="B178" s="5"/>
      <c r="C178" s="6"/>
      <c r="D178" s="6" t="s">
        <v>619</v>
      </c>
      <c r="E178" s="6" t="s">
        <v>620</v>
      </c>
      <c r="F178" s="14" t="s">
        <v>184</v>
      </c>
      <c r="G178" s="5"/>
      <c r="H178" s="6" t="str">
        <f t="shared" si="3"/>
        <v xml:space="preserve">13 Selling details of Beekeeping Production </v>
      </c>
      <c r="I178" s="5"/>
      <c r="J178" s="5"/>
      <c r="K178" s="5"/>
      <c r="L178" s="5"/>
      <c r="M178" s="5"/>
      <c r="N178" s="5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</row>
    <row r="179" spans="1:31" x14ac:dyDescent="0.25">
      <c r="A179" s="12" t="s">
        <v>621</v>
      </c>
      <c r="B179" s="3"/>
      <c r="C179" s="2"/>
      <c r="D179" s="2">
        <v>2021</v>
      </c>
      <c r="E179" s="3"/>
      <c r="F179" s="1" t="s">
        <v>96</v>
      </c>
      <c r="G179" s="3"/>
      <c r="H179" s="2" t="str">
        <f t="shared" si="3"/>
        <v xml:space="preserve">13.1. 2021 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x14ac:dyDescent="0.25">
      <c r="A180" s="12" t="s">
        <v>181</v>
      </c>
      <c r="B180" s="3"/>
      <c r="C180" s="2"/>
      <c r="D180" s="2" t="s">
        <v>622</v>
      </c>
      <c r="E180" s="2" t="s">
        <v>623</v>
      </c>
      <c r="F180" s="1" t="s">
        <v>96</v>
      </c>
      <c r="G180" s="3"/>
      <c r="H180" s="2" t="str">
        <f t="shared" si="3"/>
        <v xml:space="preserve"># Selling Details Of Beekeeping Production In 2021 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x14ac:dyDescent="0.25">
      <c r="A181" s="26" t="s">
        <v>621</v>
      </c>
      <c r="B181" s="15" t="s">
        <v>624</v>
      </c>
      <c r="C181" s="15"/>
      <c r="D181" s="15" t="s">
        <v>622</v>
      </c>
      <c r="E181" s="15" t="s">
        <v>623</v>
      </c>
      <c r="F181" s="26" t="s">
        <v>123</v>
      </c>
      <c r="G181" s="9"/>
      <c r="H181" s="15" t="str">
        <f t="shared" si="3"/>
        <v>13.1. Selling Details Of Beekeeping Production In 2021 2021_selling_detail</v>
      </c>
      <c r="I181" s="9"/>
      <c r="J181" s="9"/>
      <c r="K181" s="9"/>
      <c r="L181" s="15" t="s">
        <v>124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spans="1:31" x14ac:dyDescent="0.25">
      <c r="A182" s="7" t="s">
        <v>625</v>
      </c>
      <c r="B182" s="8" t="s">
        <v>626</v>
      </c>
      <c r="C182" s="8"/>
      <c r="D182" s="8" t="s">
        <v>627</v>
      </c>
      <c r="E182" s="9"/>
      <c r="F182" s="7" t="s">
        <v>18</v>
      </c>
      <c r="G182" s="9"/>
      <c r="H182" s="8" t="str">
        <f t="shared" si="3"/>
        <v>(A) 13.1.1. Total Output 2021_total_output</v>
      </c>
      <c r="I182" s="9"/>
      <c r="J182" s="9"/>
      <c r="K182" s="8" t="s">
        <v>628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spans="1:31" x14ac:dyDescent="0.25">
      <c r="A183" s="7" t="s">
        <v>629</v>
      </c>
      <c r="B183" s="8" t="s">
        <v>630</v>
      </c>
      <c r="C183" s="8"/>
      <c r="D183" s="8" t="s">
        <v>631</v>
      </c>
      <c r="E183" s="8" t="s">
        <v>632</v>
      </c>
      <c r="F183" s="7" t="s">
        <v>18</v>
      </c>
      <c r="G183" s="9"/>
      <c r="H183" s="8" t="str">
        <f t="shared" si="3"/>
        <v>13.1.2. Local Shop - Quantity (%) 2021_local_qty</v>
      </c>
      <c r="I183" s="9"/>
      <c r="J183" s="9"/>
      <c r="K183" s="8" t="s">
        <v>628</v>
      </c>
      <c r="L183" s="9"/>
      <c r="M183" s="9"/>
      <c r="N183" s="9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</row>
    <row r="184" spans="1:31" x14ac:dyDescent="0.25">
      <c r="A184" s="7" t="s">
        <v>633</v>
      </c>
      <c r="B184" s="8" t="s">
        <v>634</v>
      </c>
      <c r="C184" s="8"/>
      <c r="D184" s="8" t="s">
        <v>635</v>
      </c>
      <c r="E184" s="8" t="s">
        <v>636</v>
      </c>
      <c r="F184" s="7" t="s">
        <v>18</v>
      </c>
      <c r="G184" s="9"/>
      <c r="H184" s="8" t="str">
        <f t="shared" si="3"/>
        <v>13.1.3. Local Shop - Price (Rs/Kg) 2021_local_price</v>
      </c>
      <c r="I184" s="9"/>
      <c r="J184" s="9"/>
      <c r="K184" s="8" t="s">
        <v>628</v>
      </c>
      <c r="L184" s="9"/>
      <c r="M184" s="9"/>
      <c r="N184" s="9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</row>
    <row r="185" spans="1:31" x14ac:dyDescent="0.25">
      <c r="A185" s="7" t="s">
        <v>637</v>
      </c>
      <c r="B185" s="8" t="s">
        <v>638</v>
      </c>
      <c r="C185" s="8"/>
      <c r="D185" s="8" t="s">
        <v>639</v>
      </c>
      <c r="E185" s="8" t="s">
        <v>640</v>
      </c>
      <c r="F185" s="7" t="s">
        <v>18</v>
      </c>
      <c r="G185" s="9"/>
      <c r="H185" s="8" t="str">
        <f t="shared" si="3"/>
        <v>13.1.4. Local Shop - Distance to Place of Sale (in KM) 2021_local_dist</v>
      </c>
      <c r="I185" s="9"/>
      <c r="J185" s="9"/>
      <c r="K185" s="8" t="s">
        <v>628</v>
      </c>
      <c r="L185" s="9"/>
      <c r="M185" s="9"/>
      <c r="N185" s="9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</row>
    <row r="186" spans="1:31" x14ac:dyDescent="0.25">
      <c r="A186" s="7" t="s">
        <v>641</v>
      </c>
      <c r="B186" s="8" t="s">
        <v>642</v>
      </c>
      <c r="C186" s="8"/>
      <c r="D186" s="8" t="s">
        <v>643</v>
      </c>
      <c r="E186" s="8" t="s">
        <v>644</v>
      </c>
      <c r="F186" s="7" t="s">
        <v>18</v>
      </c>
      <c r="G186" s="9"/>
      <c r="H186" s="8" t="str">
        <f t="shared" si="3"/>
        <v>13.1.5. Fair/Exhibition - Quantity (%) 2021_fair_qty</v>
      </c>
      <c r="I186" s="9"/>
      <c r="J186" s="9"/>
      <c r="K186" s="8" t="s">
        <v>628</v>
      </c>
      <c r="L186" s="9"/>
      <c r="M186" s="9"/>
      <c r="N186" s="9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</row>
    <row r="187" spans="1:31" x14ac:dyDescent="0.25">
      <c r="A187" s="7" t="s">
        <v>645</v>
      </c>
      <c r="B187" s="8" t="s">
        <v>646</v>
      </c>
      <c r="C187" s="8"/>
      <c r="D187" s="8" t="s">
        <v>647</v>
      </c>
      <c r="E187" s="8" t="s">
        <v>648</v>
      </c>
      <c r="F187" s="7" t="s">
        <v>18</v>
      </c>
      <c r="G187" s="9"/>
      <c r="H187" s="8" t="str">
        <f t="shared" si="3"/>
        <v>13.1.6. Fair/Exhibition - Price (Rs/Kg) 2021_fair_price</v>
      </c>
      <c r="I187" s="9"/>
      <c r="J187" s="9"/>
      <c r="K187" s="8" t="s">
        <v>628</v>
      </c>
      <c r="L187" s="9"/>
      <c r="M187" s="9"/>
      <c r="N187" s="9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</row>
    <row r="188" spans="1:31" x14ac:dyDescent="0.25">
      <c r="A188" s="7" t="s">
        <v>649</v>
      </c>
      <c r="B188" s="8" t="s">
        <v>650</v>
      </c>
      <c r="C188" s="8"/>
      <c r="D188" s="8" t="s">
        <v>651</v>
      </c>
      <c r="E188" s="8" t="s">
        <v>640</v>
      </c>
      <c r="F188" s="7" t="s">
        <v>18</v>
      </c>
      <c r="G188" s="9"/>
      <c r="H188" s="8" t="str">
        <f t="shared" si="3"/>
        <v>13.1.7. Fair/Exhibition - Distance to Place of Sale (in KM) 2021_fair_dist</v>
      </c>
      <c r="I188" s="9"/>
      <c r="J188" s="9"/>
      <c r="K188" s="8" t="s">
        <v>628</v>
      </c>
      <c r="L188" s="9"/>
      <c r="M188" s="9"/>
      <c r="N188" s="9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</row>
    <row r="189" spans="1:31" x14ac:dyDescent="0.25">
      <c r="A189" s="7" t="s">
        <v>652</v>
      </c>
      <c r="B189" s="8" t="s">
        <v>653</v>
      </c>
      <c r="C189" s="8"/>
      <c r="D189" s="8" t="s">
        <v>654</v>
      </c>
      <c r="E189" s="8" t="s">
        <v>655</v>
      </c>
      <c r="F189" s="7" t="s">
        <v>18</v>
      </c>
      <c r="G189" s="9"/>
      <c r="H189" s="8" t="str">
        <f t="shared" si="3"/>
        <v>13.1.8. Consumer - Quantity (%) 2021_consumer_qty</v>
      </c>
      <c r="I189" s="9"/>
      <c r="J189" s="9"/>
      <c r="K189" s="8" t="s">
        <v>628</v>
      </c>
      <c r="L189" s="9"/>
      <c r="M189" s="9"/>
      <c r="N189" s="9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</row>
    <row r="190" spans="1:31" x14ac:dyDescent="0.25">
      <c r="A190" s="7" t="s">
        <v>656</v>
      </c>
      <c r="B190" s="8" t="s">
        <v>657</v>
      </c>
      <c r="C190" s="8"/>
      <c r="D190" s="8" t="s">
        <v>658</v>
      </c>
      <c r="E190" s="8" t="s">
        <v>659</v>
      </c>
      <c r="F190" s="7" t="s">
        <v>18</v>
      </c>
      <c r="G190" s="9"/>
      <c r="H190" s="8" t="str">
        <f t="shared" si="3"/>
        <v>13.1.9. Consumer - Price (Rs/Kg) 2021_consumer_price</v>
      </c>
      <c r="I190" s="9"/>
      <c r="J190" s="9"/>
      <c r="K190" s="8" t="s">
        <v>628</v>
      </c>
      <c r="L190" s="9"/>
      <c r="M190" s="9"/>
      <c r="N190" s="9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</row>
    <row r="191" spans="1:31" x14ac:dyDescent="0.25">
      <c r="A191" s="7" t="s">
        <v>660</v>
      </c>
      <c r="B191" s="8" t="s">
        <v>661</v>
      </c>
      <c r="C191" s="8"/>
      <c r="D191" s="8" t="s">
        <v>662</v>
      </c>
      <c r="E191" s="8" t="s">
        <v>640</v>
      </c>
      <c r="F191" s="7" t="s">
        <v>18</v>
      </c>
      <c r="G191" s="9"/>
      <c r="H191" s="8" t="str">
        <f t="shared" si="3"/>
        <v>13.1.10. Consumer - Distance to Place of Sale (in KM) 2021_consumer_dist</v>
      </c>
      <c r="I191" s="9"/>
      <c r="J191" s="9"/>
      <c r="K191" s="8" t="s">
        <v>628</v>
      </c>
      <c r="L191" s="9"/>
      <c r="M191" s="9"/>
      <c r="N191" s="9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</row>
    <row r="192" spans="1:31" x14ac:dyDescent="0.25">
      <c r="A192" s="7" t="s">
        <v>663</v>
      </c>
      <c r="B192" s="8" t="s">
        <v>664</v>
      </c>
      <c r="C192" s="8"/>
      <c r="D192" s="8" t="s">
        <v>665</v>
      </c>
      <c r="E192" s="8" t="s">
        <v>666</v>
      </c>
      <c r="F192" s="7" t="s">
        <v>18</v>
      </c>
      <c r="G192" s="9"/>
      <c r="H192" s="8" t="str">
        <f t="shared" si="3"/>
        <v>13.1.11. Private Retailer - Quantity (Kg) 2021_private_qty</v>
      </c>
      <c r="I192" s="9"/>
      <c r="J192" s="9"/>
      <c r="K192" s="8" t="s">
        <v>628</v>
      </c>
      <c r="L192" s="9"/>
      <c r="M192" s="9"/>
      <c r="N192" s="9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</row>
    <row r="193" spans="1:31" x14ac:dyDescent="0.25">
      <c r="A193" s="7" t="s">
        <v>667</v>
      </c>
      <c r="B193" s="8" t="s">
        <v>668</v>
      </c>
      <c r="C193" s="8"/>
      <c r="D193" s="8" t="s">
        <v>669</v>
      </c>
      <c r="E193" s="8" t="s">
        <v>670</v>
      </c>
      <c r="F193" s="7" t="s">
        <v>18</v>
      </c>
      <c r="G193" s="9"/>
      <c r="H193" s="8" t="str">
        <f t="shared" si="3"/>
        <v>13.1.12. Private Retailer - Price (Rs/Kg) 2021_private_price</v>
      </c>
      <c r="I193" s="9"/>
      <c r="J193" s="9"/>
      <c r="K193" s="8" t="s">
        <v>628</v>
      </c>
      <c r="L193" s="9"/>
      <c r="M193" s="9"/>
      <c r="N193" s="9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</row>
    <row r="194" spans="1:31" x14ac:dyDescent="0.25">
      <c r="A194" s="7" t="s">
        <v>671</v>
      </c>
      <c r="B194" s="8" t="s">
        <v>672</v>
      </c>
      <c r="C194" s="8"/>
      <c r="D194" s="8" t="s">
        <v>673</v>
      </c>
      <c r="E194" s="8" t="s">
        <v>640</v>
      </c>
      <c r="F194" s="7" t="s">
        <v>18</v>
      </c>
      <c r="G194" s="9"/>
      <c r="H194" s="8" t="str">
        <f t="shared" si="3"/>
        <v>13.1.13. Private Retailer - Distance to Place of Sale (in KM) 2021_private_dist</v>
      </c>
      <c r="I194" s="9"/>
      <c r="J194" s="9"/>
      <c r="K194" s="8" t="s">
        <v>628</v>
      </c>
      <c r="L194" s="9"/>
      <c r="M194" s="9"/>
      <c r="N194" s="9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</row>
    <row r="195" spans="1:31" x14ac:dyDescent="0.25">
      <c r="A195" s="7" t="s">
        <v>674</v>
      </c>
      <c r="B195" s="8" t="s">
        <v>675</v>
      </c>
      <c r="C195" s="8"/>
      <c r="D195" s="8" t="s">
        <v>676</v>
      </c>
      <c r="E195" s="8" t="s">
        <v>677</v>
      </c>
      <c r="F195" s="7" t="s">
        <v>18</v>
      </c>
      <c r="G195" s="9"/>
      <c r="H195" s="8" t="str">
        <f t="shared" si="3"/>
        <v>13.1.14. Honey Processing Unit - Quantity (Kg) 2021_honey_qty</v>
      </c>
      <c r="I195" s="9"/>
      <c r="J195" s="9"/>
      <c r="K195" s="8" t="s">
        <v>628</v>
      </c>
      <c r="L195" s="9"/>
      <c r="M195" s="9"/>
      <c r="N195" s="9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</row>
    <row r="196" spans="1:31" x14ac:dyDescent="0.25">
      <c r="A196" s="7" t="s">
        <v>678</v>
      </c>
      <c r="B196" s="8" t="s">
        <v>679</v>
      </c>
      <c r="C196" s="8"/>
      <c r="D196" s="8" t="s">
        <v>680</v>
      </c>
      <c r="E196" s="8" t="s">
        <v>681</v>
      </c>
      <c r="F196" s="7" t="s">
        <v>18</v>
      </c>
      <c r="G196" s="9"/>
      <c r="H196" s="8" t="str">
        <f t="shared" si="3"/>
        <v>13.1.15. Honey Processing Unit - Price (Rs/Kg) 2021_honey_price</v>
      </c>
      <c r="I196" s="9"/>
      <c r="J196" s="9"/>
      <c r="K196" s="8" t="s">
        <v>628</v>
      </c>
      <c r="L196" s="9"/>
      <c r="M196" s="9"/>
      <c r="N196" s="9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</row>
    <row r="197" spans="1:31" x14ac:dyDescent="0.25">
      <c r="A197" s="7" t="s">
        <v>682</v>
      </c>
      <c r="B197" s="8" t="s">
        <v>683</v>
      </c>
      <c r="C197" s="8"/>
      <c r="D197" s="8" t="s">
        <v>684</v>
      </c>
      <c r="E197" s="8" t="s">
        <v>640</v>
      </c>
      <c r="F197" s="7" t="s">
        <v>18</v>
      </c>
      <c r="G197" s="9"/>
      <c r="H197" s="8" t="str">
        <f t="shared" si="3"/>
        <v>13.1.16. Honey Processing Unit - Distance to Place of Sale (in KM) 2021_honey_dist</v>
      </c>
      <c r="I197" s="9"/>
      <c r="J197" s="9"/>
      <c r="K197" s="8" t="s">
        <v>628</v>
      </c>
      <c r="L197" s="9"/>
      <c r="M197" s="9"/>
      <c r="N197" s="9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</row>
    <row r="198" spans="1:31" x14ac:dyDescent="0.25">
      <c r="A198" s="7" t="s">
        <v>685</v>
      </c>
      <c r="B198" s="8" t="s">
        <v>686</v>
      </c>
      <c r="C198" s="8"/>
      <c r="D198" s="8" t="s">
        <v>687</v>
      </c>
      <c r="E198" s="8" t="s">
        <v>688</v>
      </c>
      <c r="F198" s="7" t="s">
        <v>26</v>
      </c>
      <c r="G198" s="9"/>
      <c r="H198" s="8" t="str">
        <f t="shared" si="3"/>
        <v>13.1.17. Honey Processing Unit Name 2021_honey_name</v>
      </c>
      <c r="I198" s="9"/>
      <c r="J198" s="9"/>
      <c r="K198" s="8" t="s">
        <v>628</v>
      </c>
      <c r="L198" s="8" t="s">
        <v>689</v>
      </c>
      <c r="M198" s="8" t="s">
        <v>690</v>
      </c>
      <c r="N198" s="9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</row>
    <row r="199" spans="1:31" x14ac:dyDescent="0.25">
      <c r="A199" s="7" t="s">
        <v>691</v>
      </c>
      <c r="B199" s="8" t="s">
        <v>692</v>
      </c>
      <c r="C199" s="8"/>
      <c r="D199" s="8" t="s">
        <v>693</v>
      </c>
      <c r="E199" s="8" t="s">
        <v>694</v>
      </c>
      <c r="F199" s="7" t="s">
        <v>26</v>
      </c>
      <c r="G199" s="9"/>
      <c r="H199" s="8" t="str">
        <f t="shared" si="3"/>
        <v>13.1.18. Honey Processing Unit Name - Other 2021_honey_name_other</v>
      </c>
      <c r="I199" s="9"/>
      <c r="J199" s="9"/>
      <c r="K199" s="8" t="s">
        <v>695</v>
      </c>
      <c r="L199" s="9"/>
      <c r="M199" s="8" t="s">
        <v>690</v>
      </c>
      <c r="N199" s="9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</row>
    <row r="200" spans="1:31" x14ac:dyDescent="0.25">
      <c r="A200" s="23" t="s">
        <v>696</v>
      </c>
      <c r="B200" s="8" t="s">
        <v>697</v>
      </c>
      <c r="C200" s="8"/>
      <c r="D200" s="8" t="s">
        <v>698</v>
      </c>
      <c r="E200" s="8" t="s">
        <v>699</v>
      </c>
      <c r="F200" s="25" t="s">
        <v>700</v>
      </c>
      <c r="G200" s="9"/>
      <c r="H200" s="8" t="str">
        <f t="shared" si="3"/>
        <v>13.1.19. Total Percentage Sell 2021_total_percentage_sell</v>
      </c>
      <c r="I200" s="9"/>
      <c r="J200" s="9"/>
      <c r="K200" s="8" t="s">
        <v>695</v>
      </c>
      <c r="L200" s="9"/>
      <c r="M200" s="8" t="s">
        <v>690</v>
      </c>
      <c r="N200" s="9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</row>
    <row r="201" spans="1:31" x14ac:dyDescent="0.25">
      <c r="A201" s="14" t="s">
        <v>701</v>
      </c>
      <c r="B201" s="5"/>
      <c r="C201" s="6"/>
      <c r="D201" s="6">
        <v>2022</v>
      </c>
      <c r="E201" s="5"/>
      <c r="F201" s="14" t="s">
        <v>184</v>
      </c>
      <c r="G201" s="5"/>
      <c r="H201" s="6" t="str">
        <f t="shared" si="3"/>
        <v xml:space="preserve">13.2. 2022 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</row>
    <row r="202" spans="1:31" x14ac:dyDescent="0.25">
      <c r="A202" s="1" t="s">
        <v>181</v>
      </c>
      <c r="B202" s="3"/>
      <c r="C202" s="2"/>
      <c r="D202" s="2" t="s">
        <v>702</v>
      </c>
      <c r="E202" s="2" t="s">
        <v>703</v>
      </c>
      <c r="F202" s="1" t="s">
        <v>96</v>
      </c>
      <c r="G202" s="3"/>
      <c r="H202" s="2" t="str">
        <f t="shared" si="3"/>
        <v xml:space="preserve"># Selling Details Of Beekeeping Production In 2022 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x14ac:dyDescent="0.25">
      <c r="A203" s="26" t="s">
        <v>704</v>
      </c>
      <c r="B203" s="15" t="s">
        <v>705</v>
      </c>
      <c r="C203" s="15"/>
      <c r="D203" s="15" t="s">
        <v>702</v>
      </c>
      <c r="E203" s="15" t="s">
        <v>703</v>
      </c>
      <c r="F203" s="26" t="s">
        <v>123</v>
      </c>
      <c r="G203" s="9"/>
      <c r="H203" s="15" t="str">
        <f t="shared" si="3"/>
        <v>13.3. Selling Details Of Beekeeping Production In 2022 2022_selling_detail</v>
      </c>
      <c r="I203" s="9"/>
      <c r="J203" s="9"/>
      <c r="K203" s="9"/>
      <c r="L203" s="15" t="s">
        <v>124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</row>
    <row r="204" spans="1:31" x14ac:dyDescent="0.25">
      <c r="A204" s="7" t="s">
        <v>706</v>
      </c>
      <c r="B204" s="8" t="s">
        <v>707</v>
      </c>
      <c r="C204" s="8"/>
      <c r="D204" s="8" t="s">
        <v>627</v>
      </c>
      <c r="E204" s="9"/>
      <c r="F204" s="7" t="s">
        <v>18</v>
      </c>
      <c r="G204" s="9"/>
      <c r="H204" s="8" t="str">
        <f t="shared" si="3"/>
        <v>(A) 13.3.1. Total Output 2022_total_output</v>
      </c>
      <c r="I204" s="9"/>
      <c r="J204" s="9"/>
      <c r="K204" s="8" t="s">
        <v>708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</row>
    <row r="205" spans="1:31" x14ac:dyDescent="0.25">
      <c r="A205" s="7" t="s">
        <v>709</v>
      </c>
      <c r="B205" s="8" t="s">
        <v>710</v>
      </c>
      <c r="C205" s="8"/>
      <c r="D205" s="8" t="s">
        <v>711</v>
      </c>
      <c r="E205" s="8" t="s">
        <v>632</v>
      </c>
      <c r="F205" s="7" t="s">
        <v>18</v>
      </c>
      <c r="G205" s="9"/>
      <c r="H205" s="8" t="str">
        <f t="shared" si="3"/>
        <v>13.3.2. Local Shop - Quantity (Kg) 2022_local_qty</v>
      </c>
      <c r="I205" s="9"/>
      <c r="J205" s="9"/>
      <c r="K205" s="8" t="s">
        <v>708</v>
      </c>
      <c r="L205" s="9"/>
      <c r="M205" s="9"/>
      <c r="N205" s="9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</row>
    <row r="206" spans="1:31" x14ac:dyDescent="0.25">
      <c r="A206" s="7" t="s">
        <v>712</v>
      </c>
      <c r="B206" s="8" t="s">
        <v>713</v>
      </c>
      <c r="C206" s="8"/>
      <c r="D206" s="8" t="s">
        <v>635</v>
      </c>
      <c r="E206" s="8" t="s">
        <v>636</v>
      </c>
      <c r="F206" s="7" t="s">
        <v>18</v>
      </c>
      <c r="G206" s="9"/>
      <c r="H206" s="8" t="str">
        <f t="shared" si="3"/>
        <v>13.3.3. Local Shop - Price (Rs/Kg) 2022_local_price</v>
      </c>
      <c r="I206" s="9"/>
      <c r="J206" s="9"/>
      <c r="K206" s="8" t="s">
        <v>708</v>
      </c>
      <c r="L206" s="9"/>
      <c r="M206" s="9"/>
      <c r="N206" s="9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</row>
    <row r="207" spans="1:31" x14ac:dyDescent="0.25">
      <c r="A207" s="7" t="s">
        <v>714</v>
      </c>
      <c r="B207" s="8" t="s">
        <v>715</v>
      </c>
      <c r="C207" s="8"/>
      <c r="D207" s="8" t="s">
        <v>639</v>
      </c>
      <c r="E207" s="8" t="s">
        <v>640</v>
      </c>
      <c r="F207" s="7" t="s">
        <v>18</v>
      </c>
      <c r="G207" s="9"/>
      <c r="H207" s="8" t="str">
        <f t="shared" si="3"/>
        <v>13.3.4. Local Shop - Distance to Place of Sale (in KM) 2022_local_dist</v>
      </c>
      <c r="I207" s="9"/>
      <c r="J207" s="9"/>
      <c r="K207" s="8" t="s">
        <v>708</v>
      </c>
      <c r="L207" s="9"/>
      <c r="M207" s="9"/>
      <c r="N207" s="9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</row>
    <row r="208" spans="1:31" x14ac:dyDescent="0.25">
      <c r="A208" s="7" t="s">
        <v>716</v>
      </c>
      <c r="B208" s="8" t="s">
        <v>717</v>
      </c>
      <c r="C208" s="8"/>
      <c r="D208" s="8" t="s">
        <v>718</v>
      </c>
      <c r="E208" s="8" t="s">
        <v>644</v>
      </c>
      <c r="F208" s="7" t="s">
        <v>18</v>
      </c>
      <c r="G208" s="9"/>
      <c r="H208" s="8" t="str">
        <f t="shared" si="3"/>
        <v>13.3.5. Fair/Exhibition - Quantity (Kg) 2022_fair_qty</v>
      </c>
      <c r="I208" s="9"/>
      <c r="J208" s="9"/>
      <c r="K208" s="8" t="s">
        <v>708</v>
      </c>
      <c r="L208" s="9"/>
      <c r="M208" s="9"/>
      <c r="N208" s="9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</row>
    <row r="209" spans="1:31" x14ac:dyDescent="0.25">
      <c r="A209" s="7" t="s">
        <v>719</v>
      </c>
      <c r="B209" s="8" t="s">
        <v>720</v>
      </c>
      <c r="C209" s="8"/>
      <c r="D209" s="8" t="s">
        <v>647</v>
      </c>
      <c r="E209" s="8" t="s">
        <v>648</v>
      </c>
      <c r="F209" s="7" t="s">
        <v>18</v>
      </c>
      <c r="G209" s="9"/>
      <c r="H209" s="8" t="str">
        <f t="shared" si="3"/>
        <v>13.3.6. Fair/Exhibition - Price (Rs/Kg) 2022_fair_price</v>
      </c>
      <c r="I209" s="9"/>
      <c r="J209" s="9"/>
      <c r="K209" s="8" t="s">
        <v>708</v>
      </c>
      <c r="L209" s="9"/>
      <c r="M209" s="9"/>
      <c r="N209" s="9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</row>
    <row r="210" spans="1:31" x14ac:dyDescent="0.25">
      <c r="A210" s="7" t="s">
        <v>721</v>
      </c>
      <c r="B210" s="8" t="s">
        <v>722</v>
      </c>
      <c r="C210" s="8"/>
      <c r="D210" s="8" t="s">
        <v>651</v>
      </c>
      <c r="E210" s="8" t="s">
        <v>640</v>
      </c>
      <c r="F210" s="7" t="s">
        <v>18</v>
      </c>
      <c r="G210" s="9"/>
      <c r="H210" s="8" t="str">
        <f t="shared" si="3"/>
        <v>13.3.7. Fair/Exhibition - Distance to Place of Sale (in KM) 2022_fair_dist</v>
      </c>
      <c r="I210" s="9"/>
      <c r="J210" s="9"/>
      <c r="K210" s="8" t="s">
        <v>708</v>
      </c>
      <c r="L210" s="9"/>
      <c r="M210" s="9"/>
      <c r="N210" s="9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</row>
    <row r="211" spans="1:31" x14ac:dyDescent="0.25">
      <c r="A211" s="7" t="s">
        <v>723</v>
      </c>
      <c r="B211" s="8" t="s">
        <v>724</v>
      </c>
      <c r="C211" s="8"/>
      <c r="D211" s="8" t="s">
        <v>725</v>
      </c>
      <c r="E211" s="8" t="s">
        <v>655</v>
      </c>
      <c r="F211" s="7" t="s">
        <v>18</v>
      </c>
      <c r="G211" s="9"/>
      <c r="H211" s="8" t="str">
        <f t="shared" si="3"/>
        <v>13.3.8. Consumer - Quantity (Kg) 2022_consumer_qty</v>
      </c>
      <c r="I211" s="9"/>
      <c r="J211" s="9"/>
      <c r="K211" s="8" t="s">
        <v>708</v>
      </c>
      <c r="L211" s="9"/>
      <c r="M211" s="9"/>
      <c r="N211" s="9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</row>
    <row r="212" spans="1:31" x14ac:dyDescent="0.25">
      <c r="A212" s="7" t="s">
        <v>726</v>
      </c>
      <c r="B212" s="8" t="s">
        <v>727</v>
      </c>
      <c r="C212" s="8"/>
      <c r="D212" s="8" t="s">
        <v>658</v>
      </c>
      <c r="E212" s="8" t="s">
        <v>659</v>
      </c>
      <c r="F212" s="7" t="s">
        <v>18</v>
      </c>
      <c r="G212" s="9"/>
      <c r="H212" s="8" t="str">
        <f t="shared" si="3"/>
        <v>13.3.9. Consumer - Price (Rs/Kg) 2022_consumer_price</v>
      </c>
      <c r="I212" s="9"/>
      <c r="J212" s="9"/>
      <c r="K212" s="8" t="s">
        <v>708</v>
      </c>
      <c r="L212" s="9"/>
      <c r="M212" s="9"/>
      <c r="N212" s="9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</row>
    <row r="213" spans="1:31" x14ac:dyDescent="0.25">
      <c r="A213" s="7" t="s">
        <v>728</v>
      </c>
      <c r="B213" s="8" t="s">
        <v>729</v>
      </c>
      <c r="C213" s="8"/>
      <c r="D213" s="8" t="s">
        <v>662</v>
      </c>
      <c r="E213" s="8" t="s">
        <v>640</v>
      </c>
      <c r="F213" s="7" t="s">
        <v>18</v>
      </c>
      <c r="G213" s="9"/>
      <c r="H213" s="8" t="str">
        <f t="shared" si="3"/>
        <v>13.3.10. Consumer - Distance to Place of Sale (in KM) 2022_consumer_dist</v>
      </c>
      <c r="I213" s="9"/>
      <c r="J213" s="9"/>
      <c r="K213" s="8" t="s">
        <v>708</v>
      </c>
      <c r="L213" s="9"/>
      <c r="M213" s="9"/>
      <c r="N213" s="9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</row>
    <row r="214" spans="1:31" x14ac:dyDescent="0.25">
      <c r="A214" s="7" t="s">
        <v>730</v>
      </c>
      <c r="B214" s="8" t="s">
        <v>731</v>
      </c>
      <c r="C214" s="8"/>
      <c r="D214" s="8" t="s">
        <v>665</v>
      </c>
      <c r="E214" s="8" t="s">
        <v>666</v>
      </c>
      <c r="F214" s="7" t="s">
        <v>18</v>
      </c>
      <c r="G214" s="9"/>
      <c r="H214" s="8" t="str">
        <f t="shared" si="3"/>
        <v>13.3.11. Private Retailer - Quantity (Kg) 2022_private_qty</v>
      </c>
      <c r="I214" s="9"/>
      <c r="J214" s="9"/>
      <c r="K214" s="8" t="s">
        <v>708</v>
      </c>
      <c r="L214" s="9"/>
      <c r="M214" s="9"/>
      <c r="N214" s="9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</row>
    <row r="215" spans="1:31" x14ac:dyDescent="0.25">
      <c r="A215" s="7" t="s">
        <v>732</v>
      </c>
      <c r="B215" s="8" t="s">
        <v>733</v>
      </c>
      <c r="C215" s="8"/>
      <c r="D215" s="8" t="s">
        <v>669</v>
      </c>
      <c r="E215" s="8" t="s">
        <v>670</v>
      </c>
      <c r="F215" s="7" t="s">
        <v>18</v>
      </c>
      <c r="G215" s="9"/>
      <c r="H215" s="8" t="str">
        <f t="shared" si="3"/>
        <v>13.3.12. Private Retailer - Price (Rs/Kg) 2022_private_price</v>
      </c>
      <c r="I215" s="9"/>
      <c r="J215" s="9"/>
      <c r="K215" s="8" t="s">
        <v>708</v>
      </c>
      <c r="L215" s="9"/>
      <c r="M215" s="9"/>
      <c r="N215" s="9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</row>
    <row r="216" spans="1:31" x14ac:dyDescent="0.25">
      <c r="A216" s="7" t="s">
        <v>734</v>
      </c>
      <c r="B216" s="8" t="s">
        <v>735</v>
      </c>
      <c r="C216" s="8"/>
      <c r="D216" s="8" t="s">
        <v>673</v>
      </c>
      <c r="E216" s="8" t="s">
        <v>640</v>
      </c>
      <c r="F216" s="7" t="s">
        <v>18</v>
      </c>
      <c r="G216" s="9"/>
      <c r="H216" s="8" t="str">
        <f t="shared" si="3"/>
        <v>13.3.13. Private Retailer - Distance to Place of Sale (in KM) 2022_private_dist</v>
      </c>
      <c r="I216" s="9"/>
      <c r="J216" s="9"/>
      <c r="K216" s="8" t="s">
        <v>708</v>
      </c>
      <c r="L216" s="9"/>
      <c r="M216" s="9"/>
      <c r="N216" s="9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</row>
    <row r="217" spans="1:31" x14ac:dyDescent="0.25">
      <c r="A217" s="7" t="s">
        <v>736</v>
      </c>
      <c r="B217" s="8" t="s">
        <v>737</v>
      </c>
      <c r="C217" s="8"/>
      <c r="D217" s="8" t="s">
        <v>676</v>
      </c>
      <c r="E217" s="8" t="s">
        <v>677</v>
      </c>
      <c r="F217" s="7" t="s">
        <v>18</v>
      </c>
      <c r="G217" s="9"/>
      <c r="H217" s="8" t="str">
        <f t="shared" si="3"/>
        <v>13.3.14. Honey Processing Unit - Quantity (Kg) 2022_honey_qty</v>
      </c>
      <c r="I217" s="9"/>
      <c r="J217" s="9"/>
      <c r="K217" s="8" t="s">
        <v>708</v>
      </c>
      <c r="L217" s="9"/>
      <c r="M217" s="9"/>
      <c r="N217" s="9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</row>
    <row r="218" spans="1:31" x14ac:dyDescent="0.25">
      <c r="A218" s="7" t="s">
        <v>738</v>
      </c>
      <c r="B218" s="8" t="s">
        <v>739</v>
      </c>
      <c r="C218" s="8"/>
      <c r="D218" s="8" t="s">
        <v>680</v>
      </c>
      <c r="E218" s="8" t="s">
        <v>681</v>
      </c>
      <c r="F218" s="7" t="s">
        <v>18</v>
      </c>
      <c r="G218" s="9"/>
      <c r="H218" s="8" t="str">
        <f t="shared" si="3"/>
        <v>13.3.15. Honey Processing Unit - Price (Rs/Kg) 2022_honey_price</v>
      </c>
      <c r="I218" s="9"/>
      <c r="J218" s="9"/>
      <c r="K218" s="8" t="s">
        <v>708</v>
      </c>
      <c r="L218" s="9"/>
      <c r="M218" s="9"/>
      <c r="N218" s="9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</row>
    <row r="219" spans="1:31" x14ac:dyDescent="0.25">
      <c r="A219" s="7" t="s">
        <v>740</v>
      </c>
      <c r="B219" s="8" t="s">
        <v>741</v>
      </c>
      <c r="C219" s="8"/>
      <c r="D219" s="8" t="s">
        <v>684</v>
      </c>
      <c r="E219" s="8" t="s">
        <v>640</v>
      </c>
      <c r="F219" s="7" t="s">
        <v>18</v>
      </c>
      <c r="G219" s="9"/>
      <c r="H219" s="8" t="str">
        <f t="shared" si="3"/>
        <v>13.3.16. Honey Processing Unit - Distance to Place of Sale (in KM) 2022_honey_dist</v>
      </c>
      <c r="I219" s="9"/>
      <c r="J219" s="9"/>
      <c r="K219" s="8" t="s">
        <v>708</v>
      </c>
      <c r="L219" s="9"/>
      <c r="M219" s="9"/>
      <c r="N219" s="9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</row>
    <row r="220" spans="1:31" x14ac:dyDescent="0.25">
      <c r="A220" s="7" t="s">
        <v>742</v>
      </c>
      <c r="B220" s="8" t="s">
        <v>743</v>
      </c>
      <c r="C220" s="8"/>
      <c r="D220" s="8" t="s">
        <v>687</v>
      </c>
      <c r="E220" s="8" t="s">
        <v>688</v>
      </c>
      <c r="F220" s="7" t="s">
        <v>26</v>
      </c>
      <c r="G220" s="9"/>
      <c r="H220" s="8" t="str">
        <f t="shared" si="3"/>
        <v>13.3.17. Honey Processing Unit Name 2022_honey_name</v>
      </c>
      <c r="I220" s="9"/>
      <c r="J220" s="9"/>
      <c r="K220" s="8" t="s">
        <v>708</v>
      </c>
      <c r="L220" s="8" t="s">
        <v>744</v>
      </c>
      <c r="M220" s="8" t="s">
        <v>690</v>
      </c>
      <c r="N220" s="9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</row>
    <row r="221" spans="1:31" x14ac:dyDescent="0.25">
      <c r="A221" s="7" t="s">
        <v>745</v>
      </c>
      <c r="B221" s="8" t="s">
        <v>746</v>
      </c>
      <c r="C221" s="8"/>
      <c r="D221" s="8" t="s">
        <v>693</v>
      </c>
      <c r="E221" s="8" t="s">
        <v>694</v>
      </c>
      <c r="F221" s="7" t="s">
        <v>18</v>
      </c>
      <c r="G221" s="9"/>
      <c r="H221" s="8" t="str">
        <f t="shared" si="3"/>
        <v>13.3.18. Honey Processing Unit Name - Other 2022_honey_name_other</v>
      </c>
      <c r="I221" s="9"/>
      <c r="J221" s="9"/>
      <c r="K221" s="8" t="s">
        <v>747</v>
      </c>
      <c r="L221" s="9"/>
      <c r="M221" s="8" t="s">
        <v>690</v>
      </c>
      <c r="N221" s="9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</row>
    <row r="222" spans="1:31" x14ac:dyDescent="0.25">
      <c r="A222" s="23" t="s">
        <v>748</v>
      </c>
      <c r="B222" s="8" t="s">
        <v>749</v>
      </c>
      <c r="C222" s="8"/>
      <c r="D222" s="8" t="s">
        <v>698</v>
      </c>
      <c r="E222" s="8" t="s">
        <v>699</v>
      </c>
      <c r="F222" s="25" t="s">
        <v>750</v>
      </c>
      <c r="G222" s="9"/>
      <c r="H222" s="8" t="str">
        <f t="shared" si="3"/>
        <v>13.3.19. Total Percentage Sell 2022_total_percentage_sell</v>
      </c>
      <c r="I222" s="9"/>
      <c r="J222" s="9"/>
      <c r="K222" s="8" t="s">
        <v>751</v>
      </c>
      <c r="L222" s="9"/>
      <c r="M222" s="8" t="s">
        <v>690</v>
      </c>
      <c r="N222" s="9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</row>
    <row r="223" spans="1:31" x14ac:dyDescent="0.25">
      <c r="A223" s="4" t="s">
        <v>752</v>
      </c>
      <c r="B223" s="5"/>
      <c r="C223" s="6"/>
      <c r="D223" s="6">
        <v>2023</v>
      </c>
      <c r="E223" s="5"/>
      <c r="F223" s="14" t="s">
        <v>184</v>
      </c>
      <c r="G223" s="5"/>
      <c r="H223" s="6" t="str">
        <f t="shared" si="3"/>
        <v xml:space="preserve">13.5. 2023 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</row>
    <row r="224" spans="1:31" x14ac:dyDescent="0.25">
      <c r="A224" s="1" t="s">
        <v>181</v>
      </c>
      <c r="B224" s="3"/>
      <c r="C224" s="2"/>
      <c r="D224" s="2" t="s">
        <v>753</v>
      </c>
      <c r="E224" s="2" t="s">
        <v>754</v>
      </c>
      <c r="F224" s="1" t="s">
        <v>96</v>
      </c>
      <c r="G224" s="3"/>
      <c r="H224" s="2" t="str">
        <f t="shared" si="3"/>
        <v xml:space="preserve"># Selling Details Of Beekeeping Production In 2023 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spans="1:31" x14ac:dyDescent="0.25">
      <c r="A225" s="26" t="s">
        <v>752</v>
      </c>
      <c r="B225" s="15" t="s">
        <v>755</v>
      </c>
      <c r="C225" s="15"/>
      <c r="D225" s="15" t="s">
        <v>753</v>
      </c>
      <c r="E225" s="15" t="s">
        <v>754</v>
      </c>
      <c r="F225" s="26" t="s">
        <v>123</v>
      </c>
      <c r="G225" s="9"/>
      <c r="H225" s="15" t="str">
        <f t="shared" si="3"/>
        <v>13.5. Selling Details Of Beekeeping Production In 2023 2023_selling_detail</v>
      </c>
      <c r="I225" s="9"/>
      <c r="J225" s="9"/>
      <c r="K225" s="9"/>
      <c r="L225" s="15" t="s">
        <v>124</v>
      </c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spans="1:31" x14ac:dyDescent="0.25">
      <c r="A226" s="7" t="s">
        <v>756</v>
      </c>
      <c r="B226" s="8" t="s">
        <v>757</v>
      </c>
      <c r="C226" s="8"/>
      <c r="D226" s="8" t="s">
        <v>627</v>
      </c>
      <c r="E226" s="9"/>
      <c r="F226" s="7" t="s">
        <v>18</v>
      </c>
      <c r="G226" s="9"/>
      <c r="H226" s="8" t="str">
        <f t="shared" si="3"/>
        <v>(A) 13.5.1. Total Output 2023_total_output</v>
      </c>
      <c r="I226" s="9"/>
      <c r="J226" s="9"/>
      <c r="K226" s="8" t="s">
        <v>758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spans="1:31" x14ac:dyDescent="0.25">
      <c r="A227" s="7" t="s">
        <v>759</v>
      </c>
      <c r="B227" s="8" t="s">
        <v>760</v>
      </c>
      <c r="C227" s="8"/>
      <c r="D227" s="8" t="s">
        <v>711</v>
      </c>
      <c r="E227" s="8" t="s">
        <v>632</v>
      </c>
      <c r="F227" s="7" t="s">
        <v>18</v>
      </c>
      <c r="G227" s="9"/>
      <c r="H227" s="8" t="str">
        <f t="shared" si="3"/>
        <v>13.5.2. Local Shop - Quantity (Kg) 2023_local_qty</v>
      </c>
      <c r="I227" s="9"/>
      <c r="J227" s="9"/>
      <c r="K227" s="8" t="s">
        <v>758</v>
      </c>
      <c r="L227" s="9"/>
      <c r="M227" s="9"/>
      <c r="N227" s="9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</row>
    <row r="228" spans="1:31" x14ac:dyDescent="0.25">
      <c r="A228" s="7" t="s">
        <v>761</v>
      </c>
      <c r="B228" s="8" t="s">
        <v>762</v>
      </c>
      <c r="C228" s="8"/>
      <c r="D228" s="8" t="s">
        <v>635</v>
      </c>
      <c r="E228" s="8" t="s">
        <v>636</v>
      </c>
      <c r="F228" s="7" t="s">
        <v>18</v>
      </c>
      <c r="G228" s="9"/>
      <c r="H228" s="8" t="str">
        <f t="shared" si="3"/>
        <v>13.5.3. Local Shop - Price (Rs/Kg) 2023_local_price</v>
      </c>
      <c r="I228" s="9"/>
      <c r="J228" s="9"/>
      <c r="K228" s="8" t="s">
        <v>758</v>
      </c>
      <c r="L228" s="9"/>
      <c r="M228" s="9"/>
      <c r="N228" s="9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</row>
    <row r="229" spans="1:31" x14ac:dyDescent="0.25">
      <c r="A229" s="7" t="s">
        <v>763</v>
      </c>
      <c r="B229" s="8" t="s">
        <v>764</v>
      </c>
      <c r="C229" s="8"/>
      <c r="D229" s="8" t="s">
        <v>639</v>
      </c>
      <c r="E229" s="8" t="s">
        <v>640</v>
      </c>
      <c r="F229" s="7" t="s">
        <v>18</v>
      </c>
      <c r="G229" s="9"/>
      <c r="H229" s="8" t="str">
        <f t="shared" si="3"/>
        <v>13.5.4. Local Shop - Distance to Place of Sale (in KM) 2023_local_dist</v>
      </c>
      <c r="I229" s="9"/>
      <c r="J229" s="9"/>
      <c r="K229" s="8" t="s">
        <v>758</v>
      </c>
      <c r="L229" s="9"/>
      <c r="M229" s="9"/>
      <c r="N229" s="9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</row>
    <row r="230" spans="1:31" x14ac:dyDescent="0.25">
      <c r="A230" s="7" t="s">
        <v>765</v>
      </c>
      <c r="B230" s="8" t="s">
        <v>766</v>
      </c>
      <c r="C230" s="8"/>
      <c r="D230" s="8" t="s">
        <v>718</v>
      </c>
      <c r="E230" s="8" t="s">
        <v>644</v>
      </c>
      <c r="F230" s="7" t="s">
        <v>18</v>
      </c>
      <c r="G230" s="9"/>
      <c r="H230" s="8" t="str">
        <f t="shared" si="3"/>
        <v>13.5.5. Fair/Exhibition - Quantity (Kg) 2023_fair_qty</v>
      </c>
      <c r="I230" s="9"/>
      <c r="J230" s="9"/>
      <c r="K230" s="8" t="s">
        <v>758</v>
      </c>
      <c r="L230" s="9"/>
      <c r="M230" s="9"/>
      <c r="N230" s="9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</row>
    <row r="231" spans="1:31" x14ac:dyDescent="0.25">
      <c r="A231" s="7" t="s">
        <v>767</v>
      </c>
      <c r="B231" s="8" t="s">
        <v>768</v>
      </c>
      <c r="C231" s="8"/>
      <c r="D231" s="8" t="s">
        <v>647</v>
      </c>
      <c r="E231" s="8" t="s">
        <v>648</v>
      </c>
      <c r="F231" s="7" t="s">
        <v>18</v>
      </c>
      <c r="G231" s="9"/>
      <c r="H231" s="8" t="str">
        <f t="shared" si="3"/>
        <v>13.5.6. Fair/Exhibition - Price (Rs/Kg) 2023_fair_price</v>
      </c>
      <c r="I231" s="9"/>
      <c r="J231" s="9"/>
      <c r="K231" s="8" t="s">
        <v>758</v>
      </c>
      <c r="L231" s="9"/>
      <c r="M231" s="9"/>
      <c r="N231" s="9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</row>
    <row r="232" spans="1:31" x14ac:dyDescent="0.25">
      <c r="A232" s="7" t="s">
        <v>769</v>
      </c>
      <c r="B232" s="8" t="s">
        <v>770</v>
      </c>
      <c r="C232" s="8"/>
      <c r="D232" s="8" t="s">
        <v>651</v>
      </c>
      <c r="E232" s="8" t="s">
        <v>640</v>
      </c>
      <c r="F232" s="7" t="s">
        <v>18</v>
      </c>
      <c r="G232" s="9"/>
      <c r="H232" s="8" t="str">
        <f t="shared" si="3"/>
        <v>13.5.7. Fair/Exhibition - Distance to Place of Sale (in KM) 2023_fair_dist</v>
      </c>
      <c r="I232" s="9"/>
      <c r="J232" s="9"/>
      <c r="K232" s="8" t="s">
        <v>758</v>
      </c>
      <c r="L232" s="9"/>
      <c r="M232" s="9"/>
      <c r="N232" s="9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</row>
    <row r="233" spans="1:31" x14ac:dyDescent="0.25">
      <c r="A233" s="7" t="s">
        <v>771</v>
      </c>
      <c r="B233" s="8" t="s">
        <v>772</v>
      </c>
      <c r="C233" s="8"/>
      <c r="D233" s="8" t="s">
        <v>725</v>
      </c>
      <c r="E233" s="8" t="s">
        <v>655</v>
      </c>
      <c r="F233" s="7" t="s">
        <v>18</v>
      </c>
      <c r="G233" s="9"/>
      <c r="H233" s="8" t="str">
        <f t="shared" si="3"/>
        <v>13.5.8. Consumer - Quantity (Kg) 2023_consumer_qty</v>
      </c>
      <c r="I233" s="9"/>
      <c r="J233" s="9"/>
      <c r="K233" s="8" t="s">
        <v>758</v>
      </c>
      <c r="L233" s="9"/>
      <c r="M233" s="9"/>
      <c r="N233" s="9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</row>
    <row r="234" spans="1:31" x14ac:dyDescent="0.25">
      <c r="A234" s="7" t="s">
        <v>773</v>
      </c>
      <c r="B234" s="8" t="s">
        <v>774</v>
      </c>
      <c r="C234" s="8"/>
      <c r="D234" s="8" t="s">
        <v>658</v>
      </c>
      <c r="E234" s="8" t="s">
        <v>659</v>
      </c>
      <c r="F234" s="7" t="s">
        <v>18</v>
      </c>
      <c r="G234" s="9"/>
      <c r="H234" s="8" t="str">
        <f t="shared" si="3"/>
        <v>13.5.9. Consumer - Price (Rs/Kg) 2023_consumer_price</v>
      </c>
      <c r="I234" s="9"/>
      <c r="J234" s="9"/>
      <c r="K234" s="8" t="s">
        <v>758</v>
      </c>
      <c r="L234" s="9"/>
      <c r="M234" s="9"/>
      <c r="N234" s="9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</row>
    <row r="235" spans="1:31" x14ac:dyDescent="0.25">
      <c r="A235" s="7" t="s">
        <v>775</v>
      </c>
      <c r="B235" s="8" t="s">
        <v>776</v>
      </c>
      <c r="C235" s="8"/>
      <c r="D235" s="8" t="s">
        <v>662</v>
      </c>
      <c r="E235" s="8" t="s">
        <v>640</v>
      </c>
      <c r="F235" s="7" t="s">
        <v>18</v>
      </c>
      <c r="G235" s="9"/>
      <c r="H235" s="8" t="str">
        <f t="shared" si="3"/>
        <v>13.5.10. Consumer - Distance to Place of Sale (in KM) 2023_consumer_dist</v>
      </c>
      <c r="I235" s="9"/>
      <c r="J235" s="9"/>
      <c r="K235" s="8" t="s">
        <v>758</v>
      </c>
      <c r="L235" s="9"/>
      <c r="M235" s="9"/>
      <c r="N235" s="9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</row>
    <row r="236" spans="1:31" x14ac:dyDescent="0.25">
      <c r="A236" s="7" t="s">
        <v>777</v>
      </c>
      <c r="B236" s="8" t="s">
        <v>778</v>
      </c>
      <c r="C236" s="8"/>
      <c r="D236" s="8" t="s">
        <v>665</v>
      </c>
      <c r="E236" s="8" t="s">
        <v>666</v>
      </c>
      <c r="F236" s="7" t="s">
        <v>18</v>
      </c>
      <c r="G236" s="9"/>
      <c r="H236" s="8" t="str">
        <f t="shared" si="3"/>
        <v>13.5.11. Private Retailer - Quantity (Kg) 2023_private_qty</v>
      </c>
      <c r="I236" s="9"/>
      <c r="J236" s="9"/>
      <c r="K236" s="8" t="s">
        <v>758</v>
      </c>
      <c r="L236" s="9"/>
      <c r="M236" s="9"/>
      <c r="N236" s="9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</row>
    <row r="237" spans="1:31" x14ac:dyDescent="0.25">
      <c r="A237" s="7" t="s">
        <v>779</v>
      </c>
      <c r="B237" s="8" t="s">
        <v>780</v>
      </c>
      <c r="C237" s="8"/>
      <c r="D237" s="8" t="s">
        <v>669</v>
      </c>
      <c r="E237" s="8" t="s">
        <v>670</v>
      </c>
      <c r="F237" s="7" t="s">
        <v>18</v>
      </c>
      <c r="G237" s="9"/>
      <c r="H237" s="8" t="str">
        <f t="shared" si="3"/>
        <v>13.5.12. Private Retailer - Price (Rs/Kg) 2023_private_price</v>
      </c>
      <c r="I237" s="9"/>
      <c r="J237" s="9"/>
      <c r="K237" s="8" t="s">
        <v>758</v>
      </c>
      <c r="L237" s="9"/>
      <c r="M237" s="9"/>
      <c r="N237" s="9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</row>
    <row r="238" spans="1:31" x14ac:dyDescent="0.25">
      <c r="A238" s="7" t="s">
        <v>781</v>
      </c>
      <c r="B238" s="8" t="s">
        <v>782</v>
      </c>
      <c r="C238" s="8"/>
      <c r="D238" s="8" t="s">
        <v>673</v>
      </c>
      <c r="E238" s="8" t="s">
        <v>640</v>
      </c>
      <c r="F238" s="7" t="s">
        <v>18</v>
      </c>
      <c r="G238" s="9"/>
      <c r="H238" s="8" t="str">
        <f t="shared" si="3"/>
        <v>13.5.13. Private Retailer - Distance to Place of Sale (in KM) 2023_private_dist</v>
      </c>
      <c r="I238" s="9"/>
      <c r="J238" s="9"/>
      <c r="K238" s="8" t="s">
        <v>758</v>
      </c>
      <c r="L238" s="9"/>
      <c r="M238" s="9"/>
      <c r="N238" s="9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</row>
    <row r="239" spans="1:31" x14ac:dyDescent="0.25">
      <c r="A239" s="7" t="s">
        <v>783</v>
      </c>
      <c r="B239" s="8" t="s">
        <v>784</v>
      </c>
      <c r="C239" s="8"/>
      <c r="D239" s="8" t="s">
        <v>676</v>
      </c>
      <c r="E239" s="8" t="s">
        <v>677</v>
      </c>
      <c r="F239" s="7" t="s">
        <v>18</v>
      </c>
      <c r="G239" s="9"/>
      <c r="H239" s="8" t="str">
        <f t="shared" si="3"/>
        <v>13.5.14. Honey Processing Unit - Quantity (Kg) 2023_honey_qty</v>
      </c>
      <c r="I239" s="9"/>
      <c r="J239" s="9"/>
      <c r="K239" s="8" t="s">
        <v>758</v>
      </c>
      <c r="L239" s="9"/>
      <c r="M239" s="9"/>
      <c r="N239" s="9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</row>
    <row r="240" spans="1:31" x14ac:dyDescent="0.25">
      <c r="A240" s="7" t="s">
        <v>785</v>
      </c>
      <c r="B240" s="8" t="s">
        <v>786</v>
      </c>
      <c r="C240" s="8"/>
      <c r="D240" s="8" t="s">
        <v>680</v>
      </c>
      <c r="E240" s="8" t="s">
        <v>681</v>
      </c>
      <c r="F240" s="7" t="s">
        <v>18</v>
      </c>
      <c r="G240" s="9"/>
      <c r="H240" s="8" t="str">
        <f t="shared" si="3"/>
        <v>13.5.15. Honey Processing Unit - Price (Rs/Kg) 2023_honey_price</v>
      </c>
      <c r="I240" s="9"/>
      <c r="J240" s="9"/>
      <c r="K240" s="8" t="s">
        <v>758</v>
      </c>
      <c r="L240" s="9"/>
      <c r="M240" s="9"/>
      <c r="N240" s="9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</row>
    <row r="241" spans="1:31" x14ac:dyDescent="0.25">
      <c r="A241" s="7" t="s">
        <v>787</v>
      </c>
      <c r="B241" s="8" t="s">
        <v>788</v>
      </c>
      <c r="C241" s="8"/>
      <c r="D241" s="8" t="s">
        <v>684</v>
      </c>
      <c r="E241" s="8" t="s">
        <v>640</v>
      </c>
      <c r="F241" s="7" t="s">
        <v>18</v>
      </c>
      <c r="G241" s="9"/>
      <c r="H241" s="8" t="str">
        <f t="shared" si="3"/>
        <v>13.5.16. Honey Processing Unit - Distance to Place of Sale (in KM) 2023_honey_dist</v>
      </c>
      <c r="I241" s="9"/>
      <c r="J241" s="9"/>
      <c r="K241" s="8" t="s">
        <v>758</v>
      </c>
      <c r="L241" s="9"/>
      <c r="M241" s="9"/>
      <c r="N241" s="9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</row>
    <row r="242" spans="1:31" x14ac:dyDescent="0.25">
      <c r="A242" s="7" t="s">
        <v>789</v>
      </c>
      <c r="B242" s="8" t="s">
        <v>790</v>
      </c>
      <c r="C242" s="8"/>
      <c r="D242" s="8" t="s">
        <v>687</v>
      </c>
      <c r="E242" s="8" t="s">
        <v>688</v>
      </c>
      <c r="F242" s="7" t="s">
        <v>26</v>
      </c>
      <c r="G242" s="9"/>
      <c r="H242" s="8" t="str">
        <f t="shared" si="3"/>
        <v>13.5.17. Honey Processing Unit Name 2023_honey_name</v>
      </c>
      <c r="I242" s="9"/>
      <c r="J242" s="9"/>
      <c r="K242" s="8" t="s">
        <v>758</v>
      </c>
      <c r="L242" s="8" t="s">
        <v>689</v>
      </c>
      <c r="M242" s="8" t="s">
        <v>690</v>
      </c>
      <c r="N242" s="9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</row>
    <row r="243" spans="1:31" x14ac:dyDescent="0.25">
      <c r="A243" s="7" t="s">
        <v>791</v>
      </c>
      <c r="B243" s="8" t="s">
        <v>792</v>
      </c>
      <c r="C243" s="8"/>
      <c r="D243" s="8" t="s">
        <v>693</v>
      </c>
      <c r="E243" s="8" t="s">
        <v>694</v>
      </c>
      <c r="F243" s="7" t="s">
        <v>18</v>
      </c>
      <c r="G243" s="9"/>
      <c r="H243" s="8" t="str">
        <f t="shared" si="3"/>
        <v>13.5.18. Honey Processing Unit Name - Other 2023_honey_name_other</v>
      </c>
      <c r="I243" s="9"/>
      <c r="J243" s="9"/>
      <c r="K243" s="8" t="s">
        <v>793</v>
      </c>
      <c r="L243" s="9"/>
      <c r="M243" s="8" t="s">
        <v>690</v>
      </c>
      <c r="N243" s="9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</row>
    <row r="244" spans="1:31" x14ac:dyDescent="0.25">
      <c r="A244" s="23" t="s">
        <v>794</v>
      </c>
      <c r="B244" s="8" t="s">
        <v>795</v>
      </c>
      <c r="C244" s="8"/>
      <c r="D244" s="8" t="s">
        <v>698</v>
      </c>
      <c r="E244" s="8" t="s">
        <v>699</v>
      </c>
      <c r="F244" s="25" t="s">
        <v>796</v>
      </c>
      <c r="G244" s="9"/>
      <c r="H244" s="8" t="str">
        <f t="shared" si="3"/>
        <v>13.5.19. Total Percentage Sell 2023_total_percentage_sell</v>
      </c>
      <c r="I244" s="9"/>
      <c r="J244" s="9"/>
      <c r="K244" s="8" t="s">
        <v>797</v>
      </c>
      <c r="L244" s="9"/>
      <c r="M244" s="8" t="s">
        <v>690</v>
      </c>
      <c r="N244" s="9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</row>
    <row r="245" spans="1:31" x14ac:dyDescent="0.25">
      <c r="A245" s="4">
        <v>14</v>
      </c>
      <c r="B245" s="5"/>
      <c r="C245" s="6"/>
      <c r="D245" s="6" t="s">
        <v>798</v>
      </c>
      <c r="E245" s="6" t="s">
        <v>799</v>
      </c>
      <c r="F245" s="14" t="s">
        <v>184</v>
      </c>
      <c r="G245" s="5"/>
      <c r="H245" s="6" t="str">
        <f t="shared" si="3"/>
        <v xml:space="preserve">14 Selling details of Co-Products under Beekeeping during Post-Harvest </v>
      </c>
      <c r="I245" s="5"/>
      <c r="J245" s="5"/>
      <c r="K245" s="5"/>
      <c r="L245" s="5"/>
      <c r="M245" s="5"/>
      <c r="N245" s="5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</row>
    <row r="246" spans="1:31" x14ac:dyDescent="0.25">
      <c r="A246" s="12" t="s">
        <v>181</v>
      </c>
      <c r="B246" s="3"/>
      <c r="C246" s="2"/>
      <c r="D246" s="2">
        <v>2021</v>
      </c>
      <c r="E246" s="3"/>
      <c r="F246" s="1" t="s">
        <v>96</v>
      </c>
      <c r="G246" s="3"/>
      <c r="H246" s="2" t="str">
        <f t="shared" si="3"/>
        <v xml:space="preserve"># 2021 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x14ac:dyDescent="0.25">
      <c r="A247" s="12" t="s">
        <v>800</v>
      </c>
      <c r="B247" s="3"/>
      <c r="C247" s="2"/>
      <c r="D247" s="2" t="s">
        <v>345</v>
      </c>
      <c r="E247" s="2" t="s">
        <v>346</v>
      </c>
      <c r="F247" s="1" t="s">
        <v>96</v>
      </c>
      <c r="G247" s="3"/>
      <c r="H247" s="2" t="str">
        <f t="shared" si="3"/>
        <v xml:space="preserve">14.1. Beeswax </v>
      </c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x14ac:dyDescent="0.25">
      <c r="A248" s="7" t="s">
        <v>800</v>
      </c>
      <c r="B248" s="8" t="s">
        <v>801</v>
      </c>
      <c r="C248" s="8"/>
      <c r="D248" s="8" t="s">
        <v>345</v>
      </c>
      <c r="E248" s="8" t="s">
        <v>346</v>
      </c>
      <c r="F248" s="7" t="s">
        <v>26</v>
      </c>
      <c r="G248" s="9"/>
      <c r="H248" s="8" t="str">
        <f t="shared" si="3"/>
        <v>14.1. Beeswax beeswax_coproduct21</v>
      </c>
      <c r="I248" s="9"/>
      <c r="J248" s="9"/>
      <c r="K248" s="9"/>
      <c r="L248" s="8" t="s">
        <v>124</v>
      </c>
      <c r="M248" s="9"/>
      <c r="N248" s="9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</row>
    <row r="249" spans="1:31" x14ac:dyDescent="0.25">
      <c r="A249" s="7" t="s">
        <v>802</v>
      </c>
      <c r="B249" s="8" t="s">
        <v>803</v>
      </c>
      <c r="C249" s="8"/>
      <c r="D249" s="8" t="s">
        <v>804</v>
      </c>
      <c r="E249" s="8" t="s">
        <v>805</v>
      </c>
      <c r="F249" s="7" t="s">
        <v>18</v>
      </c>
      <c r="G249" s="7" t="s">
        <v>128</v>
      </c>
      <c r="H249" s="8" t="str">
        <f t="shared" si="3"/>
        <v>14.1.1, Beeswax - Total Cost of Beekeeping Co-Product (Rs.) beeswax_coproduct_totalcost21</v>
      </c>
      <c r="I249" s="9"/>
      <c r="J249" s="9"/>
      <c r="K249" s="8" t="s">
        <v>806</v>
      </c>
      <c r="L249" s="9"/>
      <c r="M249" s="9"/>
      <c r="N249" s="9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</row>
    <row r="250" spans="1:31" x14ac:dyDescent="0.25">
      <c r="A250" s="7" t="s">
        <v>807</v>
      </c>
      <c r="B250" s="8" t="s">
        <v>808</v>
      </c>
      <c r="C250" s="8"/>
      <c r="D250" s="8" t="s">
        <v>809</v>
      </c>
      <c r="E250" s="8" t="s">
        <v>810</v>
      </c>
      <c r="F250" s="7" t="s">
        <v>18</v>
      </c>
      <c r="G250" s="7" t="s">
        <v>128</v>
      </c>
      <c r="H250" s="8" t="str">
        <f t="shared" si="3"/>
        <v>(A) 14.1.1, Beeswax - Total By Product Production beeswax_byproduct_outcomes21</v>
      </c>
      <c r="I250" s="9"/>
      <c r="J250" s="9"/>
      <c r="K250" s="8" t="s">
        <v>806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</row>
    <row r="251" spans="1:31" x14ac:dyDescent="0.25">
      <c r="A251" s="7" t="s">
        <v>811</v>
      </c>
      <c r="B251" s="8" t="s">
        <v>812</v>
      </c>
      <c r="C251" s="8"/>
      <c r="D251" s="8" t="s">
        <v>813</v>
      </c>
      <c r="E251" s="8" t="s">
        <v>814</v>
      </c>
      <c r="F251" s="7" t="s">
        <v>18</v>
      </c>
      <c r="G251" s="7" t="s">
        <v>18</v>
      </c>
      <c r="H251" s="8" t="str">
        <f t="shared" si="3"/>
        <v>14.1.2. If don't sell and use personally then please specify beeswax_personal_use_explanation21</v>
      </c>
      <c r="I251" s="9"/>
      <c r="J251" s="9"/>
      <c r="K251" s="8" t="s">
        <v>806</v>
      </c>
      <c r="L251" s="9"/>
      <c r="M251" s="9"/>
      <c r="N251" s="9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</row>
    <row r="252" spans="1:31" x14ac:dyDescent="0.25">
      <c r="A252" s="7" t="s">
        <v>815</v>
      </c>
      <c r="B252" s="8" t="s">
        <v>816</v>
      </c>
      <c r="C252" s="8"/>
      <c r="D252" s="8" t="s">
        <v>817</v>
      </c>
      <c r="E252" s="8" t="s">
        <v>632</v>
      </c>
      <c r="F252" s="7" t="s">
        <v>18</v>
      </c>
      <c r="G252" s="7" t="s">
        <v>128</v>
      </c>
      <c r="H252" s="8" t="str">
        <f t="shared" si="3"/>
        <v>14.1.2, Beeswax - Local Shop - Quantity (%) beeswax_local_qty21</v>
      </c>
      <c r="I252" s="9"/>
      <c r="J252" s="9"/>
      <c r="K252" s="8" t="s">
        <v>806</v>
      </c>
      <c r="L252" s="9"/>
      <c r="M252" s="9"/>
      <c r="N252" s="9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</row>
    <row r="253" spans="1:31" x14ac:dyDescent="0.25">
      <c r="A253" s="7" t="s">
        <v>818</v>
      </c>
      <c r="B253" s="8" t="s">
        <v>819</v>
      </c>
      <c r="C253" s="8"/>
      <c r="D253" s="8" t="s">
        <v>820</v>
      </c>
      <c r="E253" s="8" t="s">
        <v>636</v>
      </c>
      <c r="F253" s="7" t="s">
        <v>18</v>
      </c>
      <c r="G253" s="7" t="s">
        <v>128</v>
      </c>
      <c r="H253" s="8" t="str">
        <f t="shared" si="3"/>
        <v>14.1.3, Beeswax - Local Shop - Price (Rs/Kg) beeswax_local_price21</v>
      </c>
      <c r="I253" s="9"/>
      <c r="J253" s="9"/>
      <c r="K253" s="8" t="s">
        <v>806</v>
      </c>
      <c r="L253" s="9"/>
      <c r="M253" s="9"/>
      <c r="N253" s="9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</row>
    <row r="254" spans="1:31" x14ac:dyDescent="0.25">
      <c r="A254" s="7" t="s">
        <v>821</v>
      </c>
      <c r="B254" s="8" t="s">
        <v>822</v>
      </c>
      <c r="C254" s="8"/>
      <c r="D254" s="8" t="s">
        <v>823</v>
      </c>
      <c r="E254" s="8" t="s">
        <v>640</v>
      </c>
      <c r="F254" s="7" t="s">
        <v>18</v>
      </c>
      <c r="G254" s="7" t="s">
        <v>128</v>
      </c>
      <c r="H254" s="8" t="str">
        <f t="shared" si="3"/>
        <v>14.1.4, Beeswax - Local Shop - Distance to Place of Sale (in KM) beeswax_local_dist21</v>
      </c>
      <c r="I254" s="9"/>
      <c r="J254" s="9"/>
      <c r="K254" s="8" t="s">
        <v>806</v>
      </c>
      <c r="L254" s="9"/>
      <c r="M254" s="9"/>
      <c r="N254" s="9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</row>
    <row r="255" spans="1:31" x14ac:dyDescent="0.25">
      <c r="A255" s="7" t="s">
        <v>824</v>
      </c>
      <c r="B255" s="8" t="s">
        <v>825</v>
      </c>
      <c r="C255" s="8"/>
      <c r="D255" s="8" t="s">
        <v>826</v>
      </c>
      <c r="E255" s="8" t="s">
        <v>644</v>
      </c>
      <c r="F255" s="7" t="s">
        <v>18</v>
      </c>
      <c r="G255" s="7" t="s">
        <v>128</v>
      </c>
      <c r="H255" s="8" t="str">
        <f t="shared" si="3"/>
        <v>14.1.5, Beeswax - Fair/Exhibition - Quantity (%) beeswax_fair_quty21</v>
      </c>
      <c r="I255" s="9"/>
      <c r="J255" s="9"/>
      <c r="K255" s="8" t="s">
        <v>806</v>
      </c>
      <c r="L255" s="9"/>
      <c r="M255" s="9"/>
      <c r="N255" s="9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</row>
    <row r="256" spans="1:31" x14ac:dyDescent="0.25">
      <c r="A256" s="7" t="s">
        <v>827</v>
      </c>
      <c r="B256" s="8" t="s">
        <v>828</v>
      </c>
      <c r="C256" s="8"/>
      <c r="D256" s="8" t="s">
        <v>829</v>
      </c>
      <c r="E256" s="8" t="s">
        <v>648</v>
      </c>
      <c r="F256" s="7" t="s">
        <v>18</v>
      </c>
      <c r="G256" s="7" t="s">
        <v>128</v>
      </c>
      <c r="H256" s="8" t="str">
        <f t="shared" si="3"/>
        <v>14.1.6, Beeswax - Fair/Exhibition - Price (Rs/Kg) beeswax_fair_price21</v>
      </c>
      <c r="I256" s="9"/>
      <c r="J256" s="9"/>
      <c r="K256" s="8" t="s">
        <v>806</v>
      </c>
      <c r="L256" s="9"/>
      <c r="M256" s="9"/>
      <c r="N256" s="9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</row>
    <row r="257" spans="1:31" x14ac:dyDescent="0.25">
      <c r="A257" s="7" t="s">
        <v>830</v>
      </c>
      <c r="B257" s="8" t="s">
        <v>831</v>
      </c>
      <c r="C257" s="8"/>
      <c r="D257" s="8" t="s">
        <v>832</v>
      </c>
      <c r="E257" s="8" t="s">
        <v>640</v>
      </c>
      <c r="F257" s="7" t="s">
        <v>18</v>
      </c>
      <c r="G257" s="7" t="s">
        <v>128</v>
      </c>
      <c r="H257" s="8" t="str">
        <f t="shared" si="3"/>
        <v>14.1.7, Beeswax - Fair/Exhibition - Distance to Place of Sale (in KM) beeswax_fair_dist21</v>
      </c>
      <c r="I257" s="9"/>
      <c r="J257" s="9"/>
      <c r="K257" s="8" t="s">
        <v>806</v>
      </c>
      <c r="L257" s="9"/>
      <c r="M257" s="9"/>
      <c r="N257" s="9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</row>
    <row r="258" spans="1:31" x14ac:dyDescent="0.25">
      <c r="A258" s="7" t="s">
        <v>833</v>
      </c>
      <c r="B258" s="8" t="s">
        <v>834</v>
      </c>
      <c r="C258" s="8"/>
      <c r="D258" s="8" t="s">
        <v>835</v>
      </c>
      <c r="E258" s="8" t="s">
        <v>655</v>
      </c>
      <c r="F258" s="7" t="s">
        <v>337</v>
      </c>
      <c r="G258" s="7" t="s">
        <v>128</v>
      </c>
      <c r="H258" s="8" t="str">
        <f t="shared" si="3"/>
        <v>14.1.8, Beeswax - Consumer - Quantity (%) beeswax_consumer_qty21</v>
      </c>
      <c r="I258" s="9"/>
      <c r="J258" s="9"/>
      <c r="K258" s="8" t="s">
        <v>806</v>
      </c>
      <c r="L258" s="9"/>
      <c r="M258" s="9"/>
      <c r="N258" s="9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</row>
    <row r="259" spans="1:31" x14ac:dyDescent="0.25">
      <c r="A259" s="7" t="s">
        <v>836</v>
      </c>
      <c r="B259" s="8" t="s">
        <v>837</v>
      </c>
      <c r="C259" s="8"/>
      <c r="D259" s="8" t="s">
        <v>838</v>
      </c>
      <c r="E259" s="8" t="s">
        <v>659</v>
      </c>
      <c r="F259" s="7" t="s">
        <v>337</v>
      </c>
      <c r="G259" s="7" t="s">
        <v>128</v>
      </c>
      <c r="H259" s="8" t="str">
        <f t="shared" si="3"/>
        <v>14.1.9, Beeswax - Consumer - Price (Rs/Kg) beeswax_consumer_price21</v>
      </c>
      <c r="I259" s="9"/>
      <c r="J259" s="9"/>
      <c r="K259" s="8" t="s">
        <v>806</v>
      </c>
      <c r="L259" s="9"/>
      <c r="M259" s="9"/>
      <c r="N259" s="9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</row>
    <row r="260" spans="1:31" x14ac:dyDescent="0.25">
      <c r="A260" s="7" t="s">
        <v>839</v>
      </c>
      <c r="B260" s="8" t="s">
        <v>840</v>
      </c>
      <c r="C260" s="8"/>
      <c r="D260" s="8" t="s">
        <v>841</v>
      </c>
      <c r="E260" s="8" t="s">
        <v>640</v>
      </c>
      <c r="F260" s="7" t="s">
        <v>18</v>
      </c>
      <c r="G260" s="7" t="s">
        <v>128</v>
      </c>
      <c r="H260" s="8" t="str">
        <f t="shared" si="3"/>
        <v>14.1.10. Beeswax - Consumer - Distance to Place of Sale (in KM) beeswax_consumer_dist21</v>
      </c>
      <c r="I260" s="9"/>
      <c r="J260" s="9"/>
      <c r="K260" s="8" t="s">
        <v>806</v>
      </c>
      <c r="L260" s="9"/>
      <c r="M260" s="9"/>
      <c r="N260" s="9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</row>
    <row r="261" spans="1:31" x14ac:dyDescent="0.25">
      <c r="A261" s="7" t="s">
        <v>842</v>
      </c>
      <c r="B261" s="8" t="s">
        <v>843</v>
      </c>
      <c r="C261" s="8"/>
      <c r="D261" s="8" t="s">
        <v>844</v>
      </c>
      <c r="E261" s="8" t="s">
        <v>666</v>
      </c>
      <c r="F261" s="7" t="s">
        <v>337</v>
      </c>
      <c r="G261" s="7" t="s">
        <v>128</v>
      </c>
      <c r="H261" s="8" t="str">
        <f t="shared" si="3"/>
        <v>14.1.11. Beeswax - Private Retailer - Quantity (%) beeswax_private_qty21</v>
      </c>
      <c r="I261" s="9"/>
      <c r="J261" s="9"/>
      <c r="K261" s="8" t="s">
        <v>806</v>
      </c>
      <c r="L261" s="9"/>
      <c r="M261" s="9"/>
      <c r="N261" s="9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</row>
    <row r="262" spans="1:31" x14ac:dyDescent="0.25">
      <c r="A262" s="7" t="s">
        <v>845</v>
      </c>
      <c r="B262" s="8" t="s">
        <v>846</v>
      </c>
      <c r="C262" s="8"/>
      <c r="D262" s="8" t="s">
        <v>847</v>
      </c>
      <c r="E262" s="8" t="s">
        <v>670</v>
      </c>
      <c r="F262" s="7" t="s">
        <v>337</v>
      </c>
      <c r="G262" s="7" t="s">
        <v>128</v>
      </c>
      <c r="H262" s="8" t="str">
        <f t="shared" si="3"/>
        <v>14.1.12. Beeswax - Private Retailer - Price (Rs/Kg) beeswax_private_price21</v>
      </c>
      <c r="I262" s="9"/>
      <c r="J262" s="9"/>
      <c r="K262" s="8" t="s">
        <v>806</v>
      </c>
      <c r="L262" s="9"/>
      <c r="M262" s="9"/>
      <c r="N262" s="9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</row>
    <row r="263" spans="1:31" x14ac:dyDescent="0.25">
      <c r="A263" s="7" t="s">
        <v>848</v>
      </c>
      <c r="B263" s="8" t="s">
        <v>849</v>
      </c>
      <c r="C263" s="8"/>
      <c r="D263" s="8" t="s">
        <v>850</v>
      </c>
      <c r="E263" s="8" t="s">
        <v>640</v>
      </c>
      <c r="F263" s="7" t="s">
        <v>18</v>
      </c>
      <c r="G263" s="7" t="s">
        <v>128</v>
      </c>
      <c r="H263" s="8" t="str">
        <f t="shared" si="3"/>
        <v>14.1.13. Beeswax - Private Retailer - Distance to Place of Sale (in KM) beeswax_private_dist21</v>
      </c>
      <c r="I263" s="9"/>
      <c r="J263" s="9"/>
      <c r="K263" s="8" t="s">
        <v>806</v>
      </c>
      <c r="L263" s="9"/>
      <c r="M263" s="9"/>
      <c r="N263" s="9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</row>
    <row r="264" spans="1:31" x14ac:dyDescent="0.25">
      <c r="A264" s="7" t="s">
        <v>851</v>
      </c>
      <c r="B264" s="8" t="s">
        <v>852</v>
      </c>
      <c r="C264" s="8"/>
      <c r="D264" s="8" t="s">
        <v>853</v>
      </c>
      <c r="E264" s="8" t="s">
        <v>677</v>
      </c>
      <c r="F264" s="7" t="s">
        <v>337</v>
      </c>
      <c r="G264" s="7" t="s">
        <v>128</v>
      </c>
      <c r="H264" s="8" t="str">
        <f t="shared" si="3"/>
        <v>14.1.14. Beeswax - Honey Processing - Unit Quantity (%) beeswax_honey_qty21</v>
      </c>
      <c r="I264" s="9"/>
      <c r="J264" s="9"/>
      <c r="K264" s="8" t="s">
        <v>806</v>
      </c>
      <c r="L264" s="9"/>
      <c r="M264" s="9"/>
      <c r="N264" s="9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</row>
    <row r="265" spans="1:31" x14ac:dyDescent="0.25">
      <c r="A265" s="7" t="s">
        <v>854</v>
      </c>
      <c r="B265" s="8" t="s">
        <v>855</v>
      </c>
      <c r="C265" s="8"/>
      <c r="D265" s="8" t="s">
        <v>856</v>
      </c>
      <c r="E265" s="8" t="s">
        <v>681</v>
      </c>
      <c r="F265" s="7" t="s">
        <v>337</v>
      </c>
      <c r="G265" s="7" t="s">
        <v>128</v>
      </c>
      <c r="H265" s="8" t="str">
        <f t="shared" si="3"/>
        <v>14.1.15. Beeswax - Honey Processing - Unit Price (Rs/Kg) beeswax_honey_price21</v>
      </c>
      <c r="I265" s="9"/>
      <c r="J265" s="9"/>
      <c r="K265" s="8" t="s">
        <v>806</v>
      </c>
      <c r="L265" s="9"/>
      <c r="M265" s="9"/>
      <c r="N265" s="9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</row>
    <row r="266" spans="1:31" x14ac:dyDescent="0.25">
      <c r="A266" s="7" t="s">
        <v>857</v>
      </c>
      <c r="B266" s="8" t="s">
        <v>858</v>
      </c>
      <c r="C266" s="8"/>
      <c r="D266" s="8" t="s">
        <v>859</v>
      </c>
      <c r="E266" s="8" t="s">
        <v>640</v>
      </c>
      <c r="F266" s="7" t="s">
        <v>18</v>
      </c>
      <c r="G266" s="7" t="s">
        <v>128</v>
      </c>
      <c r="H266" s="8" t="str">
        <f t="shared" si="3"/>
        <v>14.1.16. Beeswax - Honey Processing - Distance to Place of Sale (in KM) beeswax_honey_dist21</v>
      </c>
      <c r="I266" s="9"/>
      <c r="J266" s="9"/>
      <c r="K266" s="8" t="s">
        <v>806</v>
      </c>
      <c r="L266" s="9"/>
      <c r="M266" s="9"/>
      <c r="N266" s="9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</row>
    <row r="267" spans="1:31" x14ac:dyDescent="0.25">
      <c r="A267" s="7" t="s">
        <v>860</v>
      </c>
      <c r="B267" s="8" t="s">
        <v>861</v>
      </c>
      <c r="C267" s="8"/>
      <c r="D267" s="8" t="s">
        <v>862</v>
      </c>
      <c r="E267" s="8" t="s">
        <v>688</v>
      </c>
      <c r="F267" s="7" t="s">
        <v>26</v>
      </c>
      <c r="G267" s="9"/>
      <c r="H267" s="8" t="str">
        <f t="shared" si="3"/>
        <v>14.1.17. Beeswax - Honey Processing Unit Name beeswax_honey_unitname21</v>
      </c>
      <c r="I267" s="9"/>
      <c r="J267" s="9"/>
      <c r="K267" s="8" t="s">
        <v>806</v>
      </c>
      <c r="L267" s="8" t="s">
        <v>863</v>
      </c>
      <c r="M267" s="8" t="s">
        <v>690</v>
      </c>
      <c r="N267" s="9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</row>
    <row r="268" spans="1:31" x14ac:dyDescent="0.25">
      <c r="A268" s="7" t="s">
        <v>864</v>
      </c>
      <c r="B268" s="8" t="s">
        <v>865</v>
      </c>
      <c r="C268" s="8"/>
      <c r="D268" s="8" t="s">
        <v>866</v>
      </c>
      <c r="E268" s="8" t="s">
        <v>694</v>
      </c>
      <c r="F268" s="7" t="s">
        <v>26</v>
      </c>
      <c r="G268" s="9"/>
      <c r="H268" s="8" t="str">
        <f t="shared" si="3"/>
        <v>14.1.18. Beeswax - Honey Processing Unit Name - Other beeswax_honey_unitname21_other</v>
      </c>
      <c r="I268" s="9"/>
      <c r="J268" s="9"/>
      <c r="K268" s="8" t="s">
        <v>867</v>
      </c>
      <c r="L268" s="9"/>
      <c r="M268" s="8" t="s">
        <v>690</v>
      </c>
      <c r="N268" s="9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</row>
    <row r="269" spans="1:31" x14ac:dyDescent="0.25">
      <c r="A269" s="12" t="s">
        <v>868</v>
      </c>
      <c r="B269" s="3"/>
      <c r="C269" s="2"/>
      <c r="D269" s="2" t="s">
        <v>356</v>
      </c>
      <c r="E269" s="2" t="s">
        <v>869</v>
      </c>
      <c r="F269" s="1" t="s">
        <v>84</v>
      </c>
      <c r="G269" s="3"/>
      <c r="H269" s="2" t="str">
        <f t="shared" si="3"/>
        <v xml:space="preserve">14.2. Pollen 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x14ac:dyDescent="0.25">
      <c r="A270" s="7" t="s">
        <v>868</v>
      </c>
      <c r="B270" s="8" t="s">
        <v>870</v>
      </c>
      <c r="C270" s="8"/>
      <c r="D270" s="8" t="s">
        <v>356</v>
      </c>
      <c r="E270" s="8" t="s">
        <v>869</v>
      </c>
      <c r="F270" s="7" t="s">
        <v>26</v>
      </c>
      <c r="G270" s="9"/>
      <c r="H270" s="8" t="str">
        <f t="shared" si="3"/>
        <v>14.2. Pollen pollen_coproduct21</v>
      </c>
      <c r="I270" s="9"/>
      <c r="J270" s="9"/>
      <c r="K270" s="9"/>
      <c r="L270" s="8" t="s">
        <v>124</v>
      </c>
      <c r="M270" s="9"/>
      <c r="N270" s="9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</row>
    <row r="271" spans="1:31" x14ac:dyDescent="0.25">
      <c r="A271" s="7" t="s">
        <v>871</v>
      </c>
      <c r="B271" s="8" t="s">
        <v>872</v>
      </c>
      <c r="C271" s="8"/>
      <c r="D271" s="8" t="s">
        <v>873</v>
      </c>
      <c r="E271" s="8" t="s">
        <v>874</v>
      </c>
      <c r="F271" s="7" t="s">
        <v>18</v>
      </c>
      <c r="G271" s="7" t="s">
        <v>128</v>
      </c>
      <c r="H271" s="8" t="str">
        <f t="shared" si="3"/>
        <v>14.2.1. Pollen - Total Cost of Beekeeping Co-Product (Rs.) pollen_coproduct_totalcost21</v>
      </c>
      <c r="I271" s="9"/>
      <c r="J271" s="9"/>
      <c r="K271" s="8" t="s">
        <v>875</v>
      </c>
      <c r="L271" s="9"/>
      <c r="M271" s="9"/>
      <c r="N271" s="9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</row>
    <row r="272" spans="1:31" x14ac:dyDescent="0.25">
      <c r="A272" s="7" t="s">
        <v>876</v>
      </c>
      <c r="B272" s="8" t="s">
        <v>877</v>
      </c>
      <c r="C272" s="8"/>
      <c r="D272" s="8" t="s">
        <v>878</v>
      </c>
      <c r="E272" s="8" t="s">
        <v>879</v>
      </c>
      <c r="F272" s="7" t="s">
        <v>18</v>
      </c>
      <c r="G272" s="7" t="s">
        <v>128</v>
      </c>
      <c r="H272" s="8" t="str">
        <f t="shared" si="3"/>
        <v>(A) 14.2.1, Pollen - Total By Product Outcomes pollen_byproduct_outcomes21</v>
      </c>
      <c r="I272" s="9"/>
      <c r="J272" s="9"/>
      <c r="K272" s="8" t="s">
        <v>875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</row>
    <row r="273" spans="1:31" x14ac:dyDescent="0.25">
      <c r="A273" s="7" t="s">
        <v>880</v>
      </c>
      <c r="B273" s="8" t="s">
        <v>881</v>
      </c>
      <c r="C273" s="8"/>
      <c r="D273" s="8" t="s">
        <v>882</v>
      </c>
      <c r="E273" s="8" t="s">
        <v>632</v>
      </c>
      <c r="F273" s="7" t="s">
        <v>18</v>
      </c>
      <c r="G273" s="7" t="s">
        <v>128</v>
      </c>
      <c r="H273" s="8" t="str">
        <f t="shared" si="3"/>
        <v>14.2.2. Pollen - Local Shop - Quantity (Kg) pollen_local_qty21</v>
      </c>
      <c r="I273" s="9"/>
      <c r="J273" s="9"/>
      <c r="K273" s="8" t="s">
        <v>875</v>
      </c>
      <c r="L273" s="9"/>
      <c r="M273" s="9"/>
      <c r="N273" s="9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</row>
    <row r="274" spans="1:31" x14ac:dyDescent="0.25">
      <c r="A274" s="7" t="s">
        <v>883</v>
      </c>
      <c r="B274" s="8" t="s">
        <v>884</v>
      </c>
      <c r="C274" s="8"/>
      <c r="D274" s="8" t="s">
        <v>885</v>
      </c>
      <c r="E274" s="8" t="s">
        <v>636</v>
      </c>
      <c r="F274" s="7" t="s">
        <v>18</v>
      </c>
      <c r="G274" s="7" t="s">
        <v>128</v>
      </c>
      <c r="H274" s="8" t="str">
        <f t="shared" si="3"/>
        <v>14.2.3. Pollen - Local Shop - Price (Rs/Kg) pollen_local_price21</v>
      </c>
      <c r="I274" s="9"/>
      <c r="J274" s="9"/>
      <c r="K274" s="8" t="s">
        <v>875</v>
      </c>
      <c r="L274" s="9"/>
      <c r="M274" s="9"/>
      <c r="N274" s="9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</row>
    <row r="275" spans="1:31" x14ac:dyDescent="0.25">
      <c r="A275" s="7" t="s">
        <v>886</v>
      </c>
      <c r="B275" s="8" t="s">
        <v>887</v>
      </c>
      <c r="C275" s="8"/>
      <c r="D275" s="8" t="s">
        <v>888</v>
      </c>
      <c r="E275" s="8" t="s">
        <v>640</v>
      </c>
      <c r="F275" s="7" t="s">
        <v>18</v>
      </c>
      <c r="G275" s="7" t="s">
        <v>128</v>
      </c>
      <c r="H275" s="8" t="str">
        <f t="shared" si="3"/>
        <v>14.2.4. Pollen - Local Shop - Distance to Place of Sale (in KM) pollen_local_dist21</v>
      </c>
      <c r="I275" s="9"/>
      <c r="J275" s="9"/>
      <c r="K275" s="8" t="s">
        <v>875</v>
      </c>
      <c r="L275" s="9"/>
      <c r="M275" s="9"/>
      <c r="N275" s="9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</row>
    <row r="276" spans="1:31" x14ac:dyDescent="0.25">
      <c r="A276" s="7" t="s">
        <v>889</v>
      </c>
      <c r="B276" s="8" t="s">
        <v>890</v>
      </c>
      <c r="C276" s="8"/>
      <c r="D276" s="8" t="s">
        <v>891</v>
      </c>
      <c r="E276" s="8" t="s">
        <v>644</v>
      </c>
      <c r="F276" s="7" t="s">
        <v>18</v>
      </c>
      <c r="G276" s="7" t="s">
        <v>128</v>
      </c>
      <c r="H276" s="8" t="str">
        <f t="shared" si="3"/>
        <v>14.2.5. Pollen - Fair/Exhibition - Quantity (Kg) pollen_fair_qty21</v>
      </c>
      <c r="I276" s="9"/>
      <c r="J276" s="9"/>
      <c r="K276" s="8" t="s">
        <v>875</v>
      </c>
      <c r="L276" s="9"/>
      <c r="M276" s="9"/>
      <c r="N276" s="9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</row>
    <row r="277" spans="1:31" x14ac:dyDescent="0.25">
      <c r="A277" s="7" t="s">
        <v>892</v>
      </c>
      <c r="B277" s="8" t="s">
        <v>893</v>
      </c>
      <c r="C277" s="8"/>
      <c r="D277" s="8" t="s">
        <v>894</v>
      </c>
      <c r="E277" s="8" t="s">
        <v>648</v>
      </c>
      <c r="F277" s="7" t="s">
        <v>18</v>
      </c>
      <c r="G277" s="7" t="s">
        <v>128</v>
      </c>
      <c r="H277" s="8" t="str">
        <f t="shared" si="3"/>
        <v>14.2.6. Pollen - Fair/Exhibition - Price (Rs/Kg) pollen_fair_price21</v>
      </c>
      <c r="I277" s="9"/>
      <c r="J277" s="9"/>
      <c r="K277" s="8" t="s">
        <v>875</v>
      </c>
      <c r="L277" s="9"/>
      <c r="M277" s="9"/>
      <c r="N277" s="9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</row>
    <row r="278" spans="1:31" x14ac:dyDescent="0.25">
      <c r="A278" s="7" t="s">
        <v>895</v>
      </c>
      <c r="B278" s="8" t="s">
        <v>896</v>
      </c>
      <c r="C278" s="8"/>
      <c r="D278" s="8" t="s">
        <v>897</v>
      </c>
      <c r="E278" s="8" t="s">
        <v>640</v>
      </c>
      <c r="F278" s="7" t="s">
        <v>18</v>
      </c>
      <c r="G278" s="7" t="s">
        <v>128</v>
      </c>
      <c r="H278" s="8" t="str">
        <f t="shared" si="3"/>
        <v>14.2.7. Pollen - Fair/Exhibition - Distance to Place of Sale (in KM) pollen_fair_dist21</v>
      </c>
      <c r="I278" s="9"/>
      <c r="J278" s="9"/>
      <c r="K278" s="8" t="s">
        <v>875</v>
      </c>
      <c r="L278" s="9"/>
      <c r="M278" s="9"/>
      <c r="N278" s="9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</row>
    <row r="279" spans="1:31" x14ac:dyDescent="0.25">
      <c r="A279" s="7" t="s">
        <v>898</v>
      </c>
      <c r="B279" s="8" t="s">
        <v>899</v>
      </c>
      <c r="C279" s="8"/>
      <c r="D279" s="8" t="s">
        <v>900</v>
      </c>
      <c r="E279" s="8" t="s">
        <v>655</v>
      </c>
      <c r="F279" s="7" t="s">
        <v>337</v>
      </c>
      <c r="G279" s="7" t="s">
        <v>128</v>
      </c>
      <c r="H279" s="8" t="str">
        <f t="shared" si="3"/>
        <v>14.2.8. Pollen - Consumer - Quantity (Kg) pollen_consumer_quty21</v>
      </c>
      <c r="I279" s="9"/>
      <c r="J279" s="9"/>
      <c r="K279" s="8" t="s">
        <v>875</v>
      </c>
      <c r="L279" s="9"/>
      <c r="M279" s="9"/>
      <c r="N279" s="9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</row>
    <row r="280" spans="1:31" x14ac:dyDescent="0.25">
      <c r="A280" s="7" t="s">
        <v>901</v>
      </c>
      <c r="B280" s="8" t="s">
        <v>902</v>
      </c>
      <c r="C280" s="8"/>
      <c r="D280" s="8" t="s">
        <v>903</v>
      </c>
      <c r="E280" s="8" t="s">
        <v>659</v>
      </c>
      <c r="F280" s="7" t="s">
        <v>337</v>
      </c>
      <c r="G280" s="7" t="s">
        <v>128</v>
      </c>
      <c r="H280" s="8" t="str">
        <f t="shared" si="3"/>
        <v>14.2.9. Pollen - Consumer - Price (Rs/Kg) pollen_consumer_price21</v>
      </c>
      <c r="I280" s="9"/>
      <c r="J280" s="9"/>
      <c r="K280" s="8" t="s">
        <v>875</v>
      </c>
      <c r="L280" s="9"/>
      <c r="M280" s="9"/>
      <c r="N280" s="9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</row>
    <row r="281" spans="1:31" x14ac:dyDescent="0.25">
      <c r="A281" s="7" t="s">
        <v>904</v>
      </c>
      <c r="B281" s="8" t="s">
        <v>905</v>
      </c>
      <c r="C281" s="8"/>
      <c r="D281" s="8" t="s">
        <v>906</v>
      </c>
      <c r="E281" s="8" t="s">
        <v>640</v>
      </c>
      <c r="F281" s="7" t="s">
        <v>18</v>
      </c>
      <c r="G281" s="7" t="s">
        <v>128</v>
      </c>
      <c r="H281" s="8" t="str">
        <f t="shared" si="3"/>
        <v>14.2.10. Pollen - Consumer - Distance to Place of Sale (in KM) pollen_consumer_dist21</v>
      </c>
      <c r="I281" s="9"/>
      <c r="J281" s="9"/>
      <c r="K281" s="8" t="s">
        <v>875</v>
      </c>
      <c r="L281" s="9"/>
      <c r="M281" s="9"/>
      <c r="N281" s="9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</row>
    <row r="282" spans="1:31" x14ac:dyDescent="0.25">
      <c r="A282" s="7" t="s">
        <v>907</v>
      </c>
      <c r="B282" s="8" t="s">
        <v>908</v>
      </c>
      <c r="C282" s="8"/>
      <c r="D282" s="8" t="s">
        <v>909</v>
      </c>
      <c r="E282" s="8" t="s">
        <v>666</v>
      </c>
      <c r="F282" s="7" t="s">
        <v>337</v>
      </c>
      <c r="G282" s="7" t="s">
        <v>128</v>
      </c>
      <c r="H282" s="8" t="str">
        <f t="shared" si="3"/>
        <v>14.2.11. Pollen - Private Retailer - Quantity (Kg) pollen_private_quty21</v>
      </c>
      <c r="I282" s="9"/>
      <c r="J282" s="9"/>
      <c r="K282" s="8" t="s">
        <v>875</v>
      </c>
      <c r="L282" s="9"/>
      <c r="M282" s="9"/>
      <c r="N282" s="9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</row>
    <row r="283" spans="1:31" x14ac:dyDescent="0.25">
      <c r="A283" s="7" t="s">
        <v>910</v>
      </c>
      <c r="B283" s="8" t="s">
        <v>911</v>
      </c>
      <c r="C283" s="8"/>
      <c r="D283" s="8" t="s">
        <v>912</v>
      </c>
      <c r="E283" s="8" t="s">
        <v>670</v>
      </c>
      <c r="F283" s="7" t="s">
        <v>337</v>
      </c>
      <c r="G283" s="7" t="s">
        <v>128</v>
      </c>
      <c r="H283" s="8" t="str">
        <f t="shared" si="3"/>
        <v>14.2.12. Pollen - Private Retailer - Price (Rs/Kg) pollen_private_price21</v>
      </c>
      <c r="I283" s="9"/>
      <c r="J283" s="9"/>
      <c r="K283" s="8" t="s">
        <v>875</v>
      </c>
      <c r="L283" s="9"/>
      <c r="M283" s="9"/>
      <c r="N283" s="9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</row>
    <row r="284" spans="1:31" x14ac:dyDescent="0.25">
      <c r="A284" s="7" t="s">
        <v>913</v>
      </c>
      <c r="B284" s="8" t="s">
        <v>914</v>
      </c>
      <c r="C284" s="8"/>
      <c r="D284" s="8" t="s">
        <v>915</v>
      </c>
      <c r="E284" s="8" t="s">
        <v>640</v>
      </c>
      <c r="F284" s="7" t="s">
        <v>18</v>
      </c>
      <c r="G284" s="7" t="s">
        <v>128</v>
      </c>
      <c r="H284" s="8" t="str">
        <f t="shared" si="3"/>
        <v>14.2.13. Pollen - Private Retailer - Distance to Place of Sale (in KM) pollen_private_dist21</v>
      </c>
      <c r="I284" s="9"/>
      <c r="J284" s="9"/>
      <c r="K284" s="8" t="s">
        <v>875</v>
      </c>
      <c r="L284" s="9"/>
      <c r="M284" s="9"/>
      <c r="N284" s="9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</row>
    <row r="285" spans="1:31" x14ac:dyDescent="0.25">
      <c r="A285" s="7" t="s">
        <v>916</v>
      </c>
      <c r="B285" s="8" t="s">
        <v>917</v>
      </c>
      <c r="C285" s="8"/>
      <c r="D285" s="8" t="s">
        <v>918</v>
      </c>
      <c r="E285" s="8" t="s">
        <v>677</v>
      </c>
      <c r="F285" s="7" t="s">
        <v>337</v>
      </c>
      <c r="G285" s="7" t="s">
        <v>128</v>
      </c>
      <c r="H285" s="8" t="str">
        <f t="shared" si="3"/>
        <v>14.2.14. Pollen - Honey Processing - Unit Quantity (Kg) pollen_honey_qty21</v>
      </c>
      <c r="I285" s="9"/>
      <c r="J285" s="9"/>
      <c r="K285" s="8" t="s">
        <v>875</v>
      </c>
      <c r="L285" s="9"/>
      <c r="M285" s="9"/>
      <c r="N285" s="9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</row>
    <row r="286" spans="1:31" x14ac:dyDescent="0.25">
      <c r="A286" s="7" t="s">
        <v>919</v>
      </c>
      <c r="B286" s="8" t="s">
        <v>920</v>
      </c>
      <c r="C286" s="8"/>
      <c r="D286" s="8" t="s">
        <v>921</v>
      </c>
      <c r="E286" s="8" t="s">
        <v>681</v>
      </c>
      <c r="F286" s="7" t="s">
        <v>337</v>
      </c>
      <c r="G286" s="7" t="s">
        <v>128</v>
      </c>
      <c r="H286" s="8" t="str">
        <f t="shared" si="3"/>
        <v>14.2.15. Pollen - Honey Processing - Unit Price (Rs/Kg) pollen_honey_price21</v>
      </c>
      <c r="I286" s="9"/>
      <c r="J286" s="9"/>
      <c r="K286" s="8" t="s">
        <v>875</v>
      </c>
      <c r="L286" s="9"/>
      <c r="M286" s="9"/>
      <c r="N286" s="9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</row>
    <row r="287" spans="1:31" x14ac:dyDescent="0.25">
      <c r="A287" s="7" t="s">
        <v>922</v>
      </c>
      <c r="B287" s="8" t="s">
        <v>923</v>
      </c>
      <c r="C287" s="8"/>
      <c r="D287" s="8" t="s">
        <v>924</v>
      </c>
      <c r="E287" s="8" t="s">
        <v>640</v>
      </c>
      <c r="F287" s="7" t="s">
        <v>18</v>
      </c>
      <c r="G287" s="7" t="s">
        <v>128</v>
      </c>
      <c r="H287" s="8" t="str">
        <f t="shared" si="3"/>
        <v>14.2.16. Pollen - Honey Processing - Distance to Place of Sale (in KM) pollen_honey_dista21</v>
      </c>
      <c r="I287" s="9"/>
      <c r="J287" s="9"/>
      <c r="K287" s="8" t="s">
        <v>875</v>
      </c>
      <c r="L287" s="9"/>
      <c r="M287" s="9"/>
      <c r="N287" s="9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</row>
    <row r="288" spans="1:31" x14ac:dyDescent="0.25">
      <c r="A288" s="7" t="s">
        <v>925</v>
      </c>
      <c r="B288" s="8" t="s">
        <v>926</v>
      </c>
      <c r="C288" s="8"/>
      <c r="D288" s="8" t="s">
        <v>927</v>
      </c>
      <c r="E288" s="8" t="s">
        <v>688</v>
      </c>
      <c r="F288" s="7" t="s">
        <v>26</v>
      </c>
      <c r="G288" s="9"/>
      <c r="H288" s="8" t="str">
        <f t="shared" si="3"/>
        <v>14.2.17. Pollen - Honey Processing Unit Name pollen_honey_unitname21</v>
      </c>
      <c r="I288" s="9"/>
      <c r="J288" s="9"/>
      <c r="K288" s="8" t="s">
        <v>875</v>
      </c>
      <c r="L288" s="8" t="s">
        <v>863</v>
      </c>
      <c r="M288" s="9"/>
      <c r="N288" s="9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</row>
    <row r="289" spans="1:31" x14ac:dyDescent="0.25">
      <c r="A289" s="7" t="s">
        <v>928</v>
      </c>
      <c r="B289" s="8" t="s">
        <v>929</v>
      </c>
      <c r="C289" s="8"/>
      <c r="D289" s="8" t="s">
        <v>930</v>
      </c>
      <c r="E289" s="8" t="s">
        <v>694</v>
      </c>
      <c r="F289" s="7" t="s">
        <v>18</v>
      </c>
      <c r="G289" s="9"/>
      <c r="H289" s="8" t="str">
        <f t="shared" si="3"/>
        <v>14.2.18. Pollen - Honey Processing Unit Name - Other pollen_honey_unitname21_other</v>
      </c>
      <c r="I289" s="9"/>
      <c r="J289" s="9"/>
      <c r="K289" s="8" t="s">
        <v>931</v>
      </c>
      <c r="L289" s="9"/>
      <c r="M289" s="9"/>
      <c r="N289" s="9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</row>
    <row r="290" spans="1:31" x14ac:dyDescent="0.25">
      <c r="A290" s="12" t="s">
        <v>932</v>
      </c>
      <c r="B290" s="3"/>
      <c r="C290" s="27"/>
      <c r="D290" s="28" t="s">
        <v>367</v>
      </c>
      <c r="E290" s="27" t="s">
        <v>368</v>
      </c>
      <c r="F290" s="3"/>
      <c r="G290" s="3"/>
      <c r="H290" s="2" t="str">
        <f t="shared" si="3"/>
        <v xml:space="preserve">14.3. Royal Jelly </v>
      </c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x14ac:dyDescent="0.25">
      <c r="A291" s="7" t="s">
        <v>932</v>
      </c>
      <c r="B291" s="8" t="s">
        <v>933</v>
      </c>
      <c r="C291" s="8"/>
      <c r="D291" s="8" t="s">
        <v>367</v>
      </c>
      <c r="E291" s="8" t="s">
        <v>368</v>
      </c>
      <c r="F291" s="7" t="s">
        <v>26</v>
      </c>
      <c r="G291" s="9"/>
      <c r="H291" s="8" t="str">
        <f t="shared" si="3"/>
        <v>14.3. Royal Jelly royal_coproduct21</v>
      </c>
      <c r="I291" s="9"/>
      <c r="J291" s="9"/>
      <c r="K291" s="9"/>
      <c r="L291" s="8" t="s">
        <v>124</v>
      </c>
      <c r="M291" s="9"/>
      <c r="N291" s="9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</row>
    <row r="292" spans="1:31" x14ac:dyDescent="0.25">
      <c r="A292" s="7" t="s">
        <v>934</v>
      </c>
      <c r="B292" s="8" t="s">
        <v>935</v>
      </c>
      <c r="C292" s="8"/>
      <c r="D292" s="8" t="s">
        <v>936</v>
      </c>
      <c r="E292" s="8" t="s">
        <v>937</v>
      </c>
      <c r="F292" s="7" t="s">
        <v>18</v>
      </c>
      <c r="G292" s="7" t="s">
        <v>128</v>
      </c>
      <c r="H292" s="8" t="str">
        <f t="shared" si="3"/>
        <v>14.3.1. Royal Jelly - Total Cost of Beekeeping Co-Product (Rs.) royal_coproduct_totalcost21</v>
      </c>
      <c r="I292" s="9"/>
      <c r="J292" s="9"/>
      <c r="K292" s="8" t="s">
        <v>938</v>
      </c>
      <c r="L292" s="9"/>
      <c r="M292" s="9"/>
      <c r="N292" s="9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</row>
    <row r="293" spans="1:31" x14ac:dyDescent="0.25">
      <c r="A293" s="7" t="s">
        <v>939</v>
      </c>
      <c r="B293" s="8" t="s">
        <v>940</v>
      </c>
      <c r="C293" s="8"/>
      <c r="D293" s="8" t="s">
        <v>941</v>
      </c>
      <c r="E293" s="8" t="s">
        <v>942</v>
      </c>
      <c r="F293" s="7" t="s">
        <v>18</v>
      </c>
      <c r="G293" s="7" t="s">
        <v>128</v>
      </c>
      <c r="H293" s="8" t="str">
        <f t="shared" si="3"/>
        <v>(A) 14.3.1, Royal Jelly - Total By Product Outcomes royal_byproduct_outcomes21</v>
      </c>
      <c r="I293" s="9"/>
      <c r="J293" s="9"/>
      <c r="K293" s="8" t="s">
        <v>938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</row>
    <row r="294" spans="1:31" x14ac:dyDescent="0.25">
      <c r="A294" s="7" t="s">
        <v>943</v>
      </c>
      <c r="B294" s="8" t="s">
        <v>944</v>
      </c>
      <c r="C294" s="8"/>
      <c r="D294" s="8" t="s">
        <v>945</v>
      </c>
      <c r="E294" s="8" t="s">
        <v>632</v>
      </c>
      <c r="F294" s="7" t="s">
        <v>18</v>
      </c>
      <c r="G294" s="7" t="s">
        <v>128</v>
      </c>
      <c r="H294" s="8" t="str">
        <f t="shared" si="3"/>
        <v>14.3.2. Royal Jelly - Local Shop - Quantity (Kg) royal_local_qty21</v>
      </c>
      <c r="I294" s="9"/>
      <c r="J294" s="9"/>
      <c r="K294" s="8" t="s">
        <v>938</v>
      </c>
      <c r="L294" s="9"/>
      <c r="M294" s="9"/>
      <c r="N294" s="9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</row>
    <row r="295" spans="1:31" x14ac:dyDescent="0.25">
      <c r="A295" s="7" t="s">
        <v>946</v>
      </c>
      <c r="B295" s="8" t="s">
        <v>947</v>
      </c>
      <c r="C295" s="8"/>
      <c r="D295" s="8" t="s">
        <v>948</v>
      </c>
      <c r="E295" s="8" t="s">
        <v>636</v>
      </c>
      <c r="F295" s="7" t="s">
        <v>18</v>
      </c>
      <c r="G295" s="7" t="s">
        <v>128</v>
      </c>
      <c r="H295" s="8" t="str">
        <f t="shared" si="3"/>
        <v>14.3.3. Royal Jelly - Local Shop - Price (Rs/Kg) royal_local_price21</v>
      </c>
      <c r="I295" s="9"/>
      <c r="J295" s="9"/>
      <c r="K295" s="8" t="s">
        <v>938</v>
      </c>
      <c r="L295" s="9"/>
      <c r="M295" s="9"/>
      <c r="N295" s="9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</row>
    <row r="296" spans="1:31" x14ac:dyDescent="0.25">
      <c r="A296" s="7" t="s">
        <v>949</v>
      </c>
      <c r="B296" s="8" t="s">
        <v>950</v>
      </c>
      <c r="C296" s="8"/>
      <c r="D296" s="8" t="s">
        <v>951</v>
      </c>
      <c r="E296" s="8" t="s">
        <v>640</v>
      </c>
      <c r="F296" s="7" t="s">
        <v>18</v>
      </c>
      <c r="G296" s="7" t="s">
        <v>128</v>
      </c>
      <c r="H296" s="8" t="str">
        <f t="shared" si="3"/>
        <v>14.3.4. Royal Jelly - Local Shop - Distance to Place of Sale (in KM) royal_local_dist21</v>
      </c>
      <c r="I296" s="9"/>
      <c r="J296" s="9"/>
      <c r="K296" s="8" t="s">
        <v>938</v>
      </c>
      <c r="L296" s="9"/>
      <c r="M296" s="9"/>
      <c r="N296" s="9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</row>
    <row r="297" spans="1:31" x14ac:dyDescent="0.25">
      <c r="A297" s="7" t="s">
        <v>952</v>
      </c>
      <c r="B297" s="8" t="s">
        <v>953</v>
      </c>
      <c r="C297" s="8"/>
      <c r="D297" s="8" t="s">
        <v>954</v>
      </c>
      <c r="E297" s="8" t="s">
        <v>644</v>
      </c>
      <c r="F297" s="7" t="s">
        <v>18</v>
      </c>
      <c r="G297" s="7" t="s">
        <v>128</v>
      </c>
      <c r="H297" s="8" t="str">
        <f t="shared" si="3"/>
        <v>14.3.5. Royal Jelly - Fair/Exhibition - Quantity (Kg) royal_fair_qty21</v>
      </c>
      <c r="I297" s="9"/>
      <c r="J297" s="9"/>
      <c r="K297" s="8" t="s">
        <v>938</v>
      </c>
      <c r="L297" s="9"/>
      <c r="M297" s="9"/>
      <c r="N297" s="9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</row>
    <row r="298" spans="1:31" x14ac:dyDescent="0.25">
      <c r="A298" s="7" t="s">
        <v>955</v>
      </c>
      <c r="B298" s="8" t="s">
        <v>956</v>
      </c>
      <c r="C298" s="8"/>
      <c r="D298" s="8" t="s">
        <v>957</v>
      </c>
      <c r="E298" s="8" t="s">
        <v>648</v>
      </c>
      <c r="F298" s="7" t="s">
        <v>18</v>
      </c>
      <c r="G298" s="7" t="s">
        <v>128</v>
      </c>
      <c r="H298" s="8" t="str">
        <f t="shared" si="3"/>
        <v>14.3.6. Royal Jelly - Fair/Exhibition - Price (Rs/Kg) royal_fair_price21</v>
      </c>
      <c r="I298" s="9"/>
      <c r="J298" s="9"/>
      <c r="K298" s="8" t="s">
        <v>938</v>
      </c>
      <c r="L298" s="9"/>
      <c r="M298" s="9"/>
      <c r="N298" s="9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</row>
    <row r="299" spans="1:31" x14ac:dyDescent="0.25">
      <c r="A299" s="7" t="s">
        <v>958</v>
      </c>
      <c r="B299" s="8" t="s">
        <v>959</v>
      </c>
      <c r="C299" s="8"/>
      <c r="D299" s="8" t="s">
        <v>960</v>
      </c>
      <c r="E299" s="8" t="s">
        <v>640</v>
      </c>
      <c r="F299" s="7" t="s">
        <v>18</v>
      </c>
      <c r="G299" s="7" t="s">
        <v>128</v>
      </c>
      <c r="H299" s="8" t="str">
        <f t="shared" si="3"/>
        <v>14.3.7. Royal Jelly - Fair/Exhibition - Distance to Place of Sale (in KM) royal_fair_dist21</v>
      </c>
      <c r="I299" s="9"/>
      <c r="J299" s="9"/>
      <c r="K299" s="8" t="s">
        <v>938</v>
      </c>
      <c r="L299" s="9"/>
      <c r="M299" s="9"/>
      <c r="N299" s="9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</row>
    <row r="300" spans="1:31" x14ac:dyDescent="0.25">
      <c r="A300" s="7" t="s">
        <v>961</v>
      </c>
      <c r="B300" s="8" t="s">
        <v>962</v>
      </c>
      <c r="C300" s="8"/>
      <c r="D300" s="8" t="s">
        <v>963</v>
      </c>
      <c r="E300" s="8" t="s">
        <v>655</v>
      </c>
      <c r="F300" s="7" t="s">
        <v>337</v>
      </c>
      <c r="G300" s="7" t="s">
        <v>128</v>
      </c>
      <c r="H300" s="8" t="str">
        <f t="shared" si="3"/>
        <v>14.3.8. Royal Jelly - Consumer - Quantity (Kg) royal_consumer_qty21</v>
      </c>
      <c r="I300" s="9"/>
      <c r="J300" s="9"/>
      <c r="K300" s="8" t="s">
        <v>938</v>
      </c>
      <c r="L300" s="9"/>
      <c r="M300" s="9"/>
      <c r="N300" s="9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</row>
    <row r="301" spans="1:31" x14ac:dyDescent="0.25">
      <c r="A301" s="7" t="s">
        <v>964</v>
      </c>
      <c r="B301" s="8" t="s">
        <v>965</v>
      </c>
      <c r="C301" s="8"/>
      <c r="D301" s="8" t="s">
        <v>966</v>
      </c>
      <c r="E301" s="8" t="s">
        <v>659</v>
      </c>
      <c r="F301" s="7" t="s">
        <v>337</v>
      </c>
      <c r="G301" s="7" t="s">
        <v>128</v>
      </c>
      <c r="H301" s="8" t="str">
        <f t="shared" si="3"/>
        <v>14.3.9. Royal Jelly - Consumer - Price (Rs/Kg) royal_consumer_price21</v>
      </c>
      <c r="I301" s="9"/>
      <c r="J301" s="9"/>
      <c r="K301" s="8" t="s">
        <v>938</v>
      </c>
      <c r="L301" s="9"/>
      <c r="M301" s="9"/>
      <c r="N301" s="9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</row>
    <row r="302" spans="1:31" x14ac:dyDescent="0.25">
      <c r="A302" s="7" t="s">
        <v>967</v>
      </c>
      <c r="B302" s="8" t="s">
        <v>968</v>
      </c>
      <c r="C302" s="8"/>
      <c r="D302" s="8" t="s">
        <v>969</v>
      </c>
      <c r="E302" s="8" t="s">
        <v>640</v>
      </c>
      <c r="F302" s="7" t="s">
        <v>18</v>
      </c>
      <c r="G302" s="7" t="s">
        <v>128</v>
      </c>
      <c r="H302" s="8" t="str">
        <f t="shared" si="3"/>
        <v>14.3.10. Royal Jelly - Consumer - Distance to Place of Sale (in KM) royal_consumer_dist21</v>
      </c>
      <c r="I302" s="9"/>
      <c r="J302" s="9"/>
      <c r="K302" s="8" t="s">
        <v>938</v>
      </c>
      <c r="L302" s="9"/>
      <c r="M302" s="9"/>
      <c r="N302" s="9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</row>
    <row r="303" spans="1:31" x14ac:dyDescent="0.25">
      <c r="A303" s="7" t="s">
        <v>970</v>
      </c>
      <c r="B303" s="8" t="s">
        <v>971</v>
      </c>
      <c r="C303" s="8"/>
      <c r="D303" s="8" t="s">
        <v>972</v>
      </c>
      <c r="E303" s="8" t="s">
        <v>666</v>
      </c>
      <c r="F303" s="7" t="s">
        <v>337</v>
      </c>
      <c r="G303" s="7" t="s">
        <v>128</v>
      </c>
      <c r="H303" s="8" t="str">
        <f t="shared" si="3"/>
        <v>14.3.11. Royal Jelly - Private Retailer - Quantity (Kg) royal_private_qty21</v>
      </c>
      <c r="I303" s="9"/>
      <c r="J303" s="9"/>
      <c r="K303" s="8" t="s">
        <v>938</v>
      </c>
      <c r="L303" s="9"/>
      <c r="M303" s="9"/>
      <c r="N303" s="9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</row>
    <row r="304" spans="1:31" x14ac:dyDescent="0.25">
      <c r="A304" s="7" t="s">
        <v>973</v>
      </c>
      <c r="B304" s="8" t="s">
        <v>974</v>
      </c>
      <c r="C304" s="8"/>
      <c r="D304" s="8" t="s">
        <v>975</v>
      </c>
      <c r="E304" s="8" t="s">
        <v>670</v>
      </c>
      <c r="F304" s="7" t="s">
        <v>337</v>
      </c>
      <c r="G304" s="7" t="s">
        <v>128</v>
      </c>
      <c r="H304" s="8" t="str">
        <f t="shared" si="3"/>
        <v>14.3.12. Royal Jelly - Private Retailer - Price (Rs/Kg) royal_private_price21</v>
      </c>
      <c r="I304" s="9"/>
      <c r="J304" s="9"/>
      <c r="K304" s="8" t="s">
        <v>938</v>
      </c>
      <c r="L304" s="9"/>
      <c r="M304" s="9"/>
      <c r="N304" s="9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</row>
    <row r="305" spans="1:31" x14ac:dyDescent="0.25">
      <c r="A305" s="7" t="s">
        <v>976</v>
      </c>
      <c r="B305" s="8" t="s">
        <v>977</v>
      </c>
      <c r="C305" s="8"/>
      <c r="D305" s="8" t="s">
        <v>978</v>
      </c>
      <c r="E305" s="8" t="s">
        <v>640</v>
      </c>
      <c r="F305" s="7" t="s">
        <v>18</v>
      </c>
      <c r="G305" s="9"/>
      <c r="H305" s="8" t="str">
        <f t="shared" si="3"/>
        <v>14.3.13. Royal Jelly - Private Retailer - Distance to Place of Sale (in KM) royal_private_dist21</v>
      </c>
      <c r="I305" s="9"/>
      <c r="J305" s="9"/>
      <c r="K305" s="8" t="s">
        <v>938</v>
      </c>
      <c r="L305" s="9"/>
      <c r="M305" s="9"/>
      <c r="N305" s="9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</row>
    <row r="306" spans="1:31" x14ac:dyDescent="0.25">
      <c r="A306" s="7" t="s">
        <v>979</v>
      </c>
      <c r="B306" s="8" t="s">
        <v>980</v>
      </c>
      <c r="C306" s="8"/>
      <c r="D306" s="8" t="s">
        <v>981</v>
      </c>
      <c r="E306" s="8" t="s">
        <v>677</v>
      </c>
      <c r="F306" s="7" t="s">
        <v>337</v>
      </c>
      <c r="G306" s="7" t="s">
        <v>128</v>
      </c>
      <c r="H306" s="8" t="str">
        <f t="shared" si="3"/>
        <v>14.3.14. Royal Jelly - Honey Processing - Unit Quantity (Kg) royal_honey_qty21</v>
      </c>
      <c r="I306" s="9"/>
      <c r="J306" s="9"/>
      <c r="K306" s="8" t="s">
        <v>938</v>
      </c>
      <c r="L306" s="9"/>
      <c r="M306" s="9"/>
      <c r="N306" s="9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</row>
    <row r="307" spans="1:31" x14ac:dyDescent="0.25">
      <c r="A307" s="7" t="s">
        <v>982</v>
      </c>
      <c r="B307" s="8" t="s">
        <v>983</v>
      </c>
      <c r="C307" s="8"/>
      <c r="D307" s="8" t="s">
        <v>984</v>
      </c>
      <c r="E307" s="8" t="s">
        <v>681</v>
      </c>
      <c r="F307" s="7" t="s">
        <v>337</v>
      </c>
      <c r="G307" s="7" t="s">
        <v>128</v>
      </c>
      <c r="H307" s="8" t="str">
        <f t="shared" si="3"/>
        <v>14.3.15. Royal Jelly - Honey Processing - Unit Price (Rs/Kg) royal_honey_price21</v>
      </c>
      <c r="I307" s="9"/>
      <c r="J307" s="9"/>
      <c r="K307" s="8" t="s">
        <v>938</v>
      </c>
      <c r="L307" s="9"/>
      <c r="M307" s="9"/>
      <c r="N307" s="9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</row>
    <row r="308" spans="1:31" x14ac:dyDescent="0.25">
      <c r="A308" s="7" t="s">
        <v>985</v>
      </c>
      <c r="B308" s="8" t="s">
        <v>986</v>
      </c>
      <c r="C308" s="8"/>
      <c r="D308" s="8" t="s">
        <v>987</v>
      </c>
      <c r="E308" s="8" t="s">
        <v>640</v>
      </c>
      <c r="F308" s="7" t="s">
        <v>18</v>
      </c>
      <c r="G308" s="9"/>
      <c r="H308" s="8" t="str">
        <f t="shared" si="3"/>
        <v>14.3.16. Royal Jelly - Honey Processing - Distance to Place of Sale (in KM) royal_honey_dist21</v>
      </c>
      <c r="I308" s="9"/>
      <c r="J308" s="9"/>
      <c r="K308" s="8" t="s">
        <v>938</v>
      </c>
      <c r="L308" s="9"/>
      <c r="M308" s="9"/>
      <c r="N308" s="9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</row>
    <row r="309" spans="1:31" x14ac:dyDescent="0.25">
      <c r="A309" s="7" t="s">
        <v>988</v>
      </c>
      <c r="B309" s="8" t="s">
        <v>989</v>
      </c>
      <c r="C309" s="8"/>
      <c r="D309" s="8" t="s">
        <v>990</v>
      </c>
      <c r="E309" s="8" t="s">
        <v>688</v>
      </c>
      <c r="F309" s="7" t="s">
        <v>26</v>
      </c>
      <c r="G309" s="9"/>
      <c r="H309" s="8" t="str">
        <f t="shared" si="3"/>
        <v>14.3.17. Royal Jelly - Honey Processing Unit Name royal_honey_unitname21</v>
      </c>
      <c r="I309" s="9"/>
      <c r="J309" s="9"/>
      <c r="K309" s="8" t="s">
        <v>938</v>
      </c>
      <c r="L309" s="8" t="s">
        <v>863</v>
      </c>
      <c r="M309" s="9"/>
      <c r="N309" s="9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</row>
    <row r="310" spans="1:31" x14ac:dyDescent="0.25">
      <c r="A310" s="7" t="s">
        <v>991</v>
      </c>
      <c r="B310" s="8" t="s">
        <v>992</v>
      </c>
      <c r="C310" s="8"/>
      <c r="D310" s="8" t="s">
        <v>993</v>
      </c>
      <c r="E310" s="8" t="s">
        <v>694</v>
      </c>
      <c r="F310" s="7" t="s">
        <v>18</v>
      </c>
      <c r="G310" s="9"/>
      <c r="H310" s="8" t="str">
        <f t="shared" si="3"/>
        <v>14.3.18. Royal Jelly - Honey Processing Unit Name - Other royal_honey_unitname21_other</v>
      </c>
      <c r="I310" s="9"/>
      <c r="J310" s="9"/>
      <c r="K310" s="8" t="s">
        <v>994</v>
      </c>
      <c r="L310" s="9"/>
      <c r="M310" s="9"/>
      <c r="N310" s="9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</row>
    <row r="311" spans="1:31" x14ac:dyDescent="0.25">
      <c r="A311" s="12" t="s">
        <v>995</v>
      </c>
      <c r="B311" s="3"/>
      <c r="C311" s="2"/>
      <c r="D311" s="2" t="s">
        <v>378</v>
      </c>
      <c r="E311" s="2" t="s">
        <v>379</v>
      </c>
      <c r="F311" s="3"/>
      <c r="G311" s="3"/>
      <c r="H311" s="2" t="str">
        <f t="shared" si="3"/>
        <v xml:space="preserve">14.4. Propolis </v>
      </c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x14ac:dyDescent="0.25">
      <c r="A312" s="7" t="s">
        <v>995</v>
      </c>
      <c r="B312" s="8" t="s">
        <v>996</v>
      </c>
      <c r="C312" s="8"/>
      <c r="D312" s="8" t="s">
        <v>378</v>
      </c>
      <c r="E312" s="8" t="s">
        <v>379</v>
      </c>
      <c r="F312" s="7" t="s">
        <v>26</v>
      </c>
      <c r="G312" s="9"/>
      <c r="H312" s="8" t="str">
        <f t="shared" si="3"/>
        <v>14.4. Propolis propolis_coproduct21</v>
      </c>
      <c r="I312" s="9"/>
      <c r="J312" s="9"/>
      <c r="K312" s="9"/>
      <c r="L312" s="8" t="s">
        <v>124</v>
      </c>
      <c r="M312" s="9"/>
      <c r="N312" s="9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</row>
    <row r="313" spans="1:31" x14ac:dyDescent="0.25">
      <c r="A313" s="7" t="s">
        <v>997</v>
      </c>
      <c r="B313" s="8" t="s">
        <v>998</v>
      </c>
      <c r="C313" s="8"/>
      <c r="D313" s="8" t="s">
        <v>999</v>
      </c>
      <c r="E313" s="8" t="s">
        <v>1000</v>
      </c>
      <c r="F313" s="7" t="s">
        <v>18</v>
      </c>
      <c r="G313" s="7" t="s">
        <v>128</v>
      </c>
      <c r="H313" s="8" t="str">
        <f t="shared" si="3"/>
        <v>14.4.1. Propolis - Total Cost of Beekeeping Co-Product (Rs.) propolis_coproduct_totalcost21</v>
      </c>
      <c r="I313" s="9"/>
      <c r="J313" s="9"/>
      <c r="K313" s="8" t="s">
        <v>1001</v>
      </c>
      <c r="L313" s="9"/>
      <c r="M313" s="9"/>
      <c r="N313" s="9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</row>
    <row r="314" spans="1:31" x14ac:dyDescent="0.25">
      <c r="A314" s="7" t="s">
        <v>1002</v>
      </c>
      <c r="B314" s="8" t="s">
        <v>1003</v>
      </c>
      <c r="C314" s="8"/>
      <c r="D314" s="8" t="s">
        <v>1004</v>
      </c>
      <c r="E314" s="8" t="s">
        <v>1005</v>
      </c>
      <c r="F314" s="7" t="s">
        <v>18</v>
      </c>
      <c r="G314" s="7" t="s">
        <v>128</v>
      </c>
      <c r="H314" s="8" t="str">
        <f t="shared" si="3"/>
        <v>(A) 14.4.1, Propolis - Total By Product Outcomes propolis_byproduct_outcomes21</v>
      </c>
      <c r="I314" s="9"/>
      <c r="J314" s="9"/>
      <c r="K314" s="8" t="s">
        <v>1001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</row>
    <row r="315" spans="1:31" x14ac:dyDescent="0.25">
      <c r="A315" s="7" t="s">
        <v>1006</v>
      </c>
      <c r="B315" s="8" t="s">
        <v>1007</v>
      </c>
      <c r="C315" s="8"/>
      <c r="D315" s="8" t="s">
        <v>1008</v>
      </c>
      <c r="E315" s="8" t="s">
        <v>632</v>
      </c>
      <c r="F315" s="7" t="s">
        <v>18</v>
      </c>
      <c r="G315" s="7" t="s">
        <v>128</v>
      </c>
      <c r="H315" s="8" t="str">
        <f t="shared" si="3"/>
        <v>14.4.2. Propolis - Local Shop - Quantity (Kg) propolis_local_qty21</v>
      </c>
      <c r="I315" s="9"/>
      <c r="J315" s="9"/>
      <c r="K315" s="8" t="s">
        <v>1001</v>
      </c>
      <c r="L315" s="9"/>
      <c r="M315" s="9"/>
      <c r="N315" s="9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</row>
    <row r="316" spans="1:31" x14ac:dyDescent="0.25">
      <c r="A316" s="7" t="s">
        <v>1009</v>
      </c>
      <c r="B316" s="8" t="s">
        <v>1010</v>
      </c>
      <c r="C316" s="8"/>
      <c r="D316" s="8" t="s">
        <v>1011</v>
      </c>
      <c r="E316" s="8" t="s">
        <v>636</v>
      </c>
      <c r="F316" s="7" t="s">
        <v>18</v>
      </c>
      <c r="G316" s="7" t="s">
        <v>128</v>
      </c>
      <c r="H316" s="8" t="str">
        <f t="shared" si="3"/>
        <v>14.4.3. Propolis - Local Shop - Price (Rs/Kg) pollen_locals_price21</v>
      </c>
      <c r="I316" s="9"/>
      <c r="J316" s="9"/>
      <c r="K316" s="8" t="s">
        <v>1001</v>
      </c>
      <c r="L316" s="9"/>
      <c r="M316" s="9"/>
      <c r="N316" s="9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</row>
    <row r="317" spans="1:31" x14ac:dyDescent="0.25">
      <c r="A317" s="7" t="s">
        <v>1012</v>
      </c>
      <c r="B317" s="8" t="s">
        <v>1013</v>
      </c>
      <c r="C317" s="8"/>
      <c r="D317" s="8" t="s">
        <v>1014</v>
      </c>
      <c r="E317" s="8" t="s">
        <v>640</v>
      </c>
      <c r="F317" s="7" t="s">
        <v>18</v>
      </c>
      <c r="G317" s="7" t="s">
        <v>128</v>
      </c>
      <c r="H317" s="8" t="str">
        <f t="shared" si="3"/>
        <v>14.4.4. Propolis - Local Shop - Distance to Place of Sale (in KM) propolis_local_dist21</v>
      </c>
      <c r="I317" s="9"/>
      <c r="J317" s="9"/>
      <c r="K317" s="8" t="s">
        <v>1001</v>
      </c>
      <c r="L317" s="9"/>
      <c r="M317" s="9"/>
      <c r="N317" s="9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</row>
    <row r="318" spans="1:31" x14ac:dyDescent="0.25">
      <c r="A318" s="7" t="s">
        <v>1015</v>
      </c>
      <c r="B318" s="8" t="s">
        <v>1016</v>
      </c>
      <c r="C318" s="8"/>
      <c r="D318" s="8" t="s">
        <v>1017</v>
      </c>
      <c r="E318" s="8" t="s">
        <v>644</v>
      </c>
      <c r="F318" s="7" t="s">
        <v>18</v>
      </c>
      <c r="G318" s="7" t="s">
        <v>128</v>
      </c>
      <c r="H318" s="8" t="str">
        <f t="shared" si="3"/>
        <v>14.4.5. Propolis - Fair/Exhibition - Quantity (Kg) propolis_fair_qty21</v>
      </c>
      <c r="I318" s="9"/>
      <c r="J318" s="9"/>
      <c r="K318" s="8" t="s">
        <v>1001</v>
      </c>
      <c r="L318" s="9"/>
      <c r="M318" s="9"/>
      <c r="N318" s="9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</row>
    <row r="319" spans="1:31" x14ac:dyDescent="0.25">
      <c r="A319" s="7" t="s">
        <v>1018</v>
      </c>
      <c r="B319" s="8" t="s">
        <v>1019</v>
      </c>
      <c r="C319" s="8"/>
      <c r="D319" s="8" t="s">
        <v>1020</v>
      </c>
      <c r="E319" s="8" t="s">
        <v>648</v>
      </c>
      <c r="F319" s="7" t="s">
        <v>18</v>
      </c>
      <c r="G319" s="7" t="s">
        <v>128</v>
      </c>
      <c r="H319" s="8" t="str">
        <f t="shared" si="3"/>
        <v>14.4.6. Propolis - Fair/Exhibition - Price (Rs/Kg) propolis_fair_price21</v>
      </c>
      <c r="I319" s="9"/>
      <c r="J319" s="9"/>
      <c r="K319" s="8" t="s">
        <v>1001</v>
      </c>
      <c r="L319" s="9"/>
      <c r="M319" s="9"/>
      <c r="N319" s="9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</row>
    <row r="320" spans="1:31" x14ac:dyDescent="0.25">
      <c r="A320" s="7" t="s">
        <v>1021</v>
      </c>
      <c r="B320" s="8" t="s">
        <v>1022</v>
      </c>
      <c r="C320" s="8"/>
      <c r="D320" s="8" t="s">
        <v>1023</v>
      </c>
      <c r="E320" s="8" t="s">
        <v>640</v>
      </c>
      <c r="F320" s="7" t="s">
        <v>18</v>
      </c>
      <c r="G320" s="7" t="s">
        <v>128</v>
      </c>
      <c r="H320" s="8" t="str">
        <f t="shared" si="3"/>
        <v>14.4.7. Propolis - Fair/Exhibition - Distance to Place of Sale (in KM) propolis_fair_dist21</v>
      </c>
      <c r="I320" s="9"/>
      <c r="J320" s="9"/>
      <c r="K320" s="8" t="s">
        <v>1001</v>
      </c>
      <c r="L320" s="9"/>
      <c r="M320" s="9"/>
      <c r="N320" s="9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</row>
    <row r="321" spans="1:31" x14ac:dyDescent="0.25">
      <c r="A321" s="7" t="s">
        <v>1024</v>
      </c>
      <c r="B321" s="8" t="s">
        <v>1025</v>
      </c>
      <c r="C321" s="8"/>
      <c r="D321" s="8" t="s">
        <v>1026</v>
      </c>
      <c r="E321" s="8" t="s">
        <v>655</v>
      </c>
      <c r="F321" s="7" t="s">
        <v>337</v>
      </c>
      <c r="G321" s="7" t="s">
        <v>128</v>
      </c>
      <c r="H321" s="8" t="str">
        <f t="shared" si="3"/>
        <v>14.4.8. Propolis - Consumer - Quantity (Kg) propolis_consumer_qty21</v>
      </c>
      <c r="I321" s="9"/>
      <c r="J321" s="9"/>
      <c r="K321" s="8" t="s">
        <v>1001</v>
      </c>
      <c r="L321" s="9"/>
      <c r="M321" s="9"/>
      <c r="N321" s="9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</row>
    <row r="322" spans="1:31" x14ac:dyDescent="0.25">
      <c r="A322" s="7" t="s">
        <v>1027</v>
      </c>
      <c r="B322" s="8" t="s">
        <v>1028</v>
      </c>
      <c r="C322" s="8"/>
      <c r="D322" s="8" t="s">
        <v>1029</v>
      </c>
      <c r="E322" s="8" t="s">
        <v>659</v>
      </c>
      <c r="F322" s="7" t="s">
        <v>337</v>
      </c>
      <c r="G322" s="7" t="s">
        <v>128</v>
      </c>
      <c r="H322" s="8" t="str">
        <f t="shared" si="3"/>
        <v>14.4.9. Propolis - Consumer - Price (Rs/Kg) propolis_consumer_price21</v>
      </c>
      <c r="I322" s="9"/>
      <c r="J322" s="9"/>
      <c r="K322" s="8" t="s">
        <v>1001</v>
      </c>
      <c r="L322" s="9"/>
      <c r="M322" s="9"/>
      <c r="N322" s="9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</row>
    <row r="323" spans="1:31" x14ac:dyDescent="0.25">
      <c r="A323" s="7" t="s">
        <v>1030</v>
      </c>
      <c r="B323" s="8" t="s">
        <v>1031</v>
      </c>
      <c r="C323" s="8"/>
      <c r="D323" s="8" t="s">
        <v>1032</v>
      </c>
      <c r="E323" s="8" t="s">
        <v>640</v>
      </c>
      <c r="F323" s="7" t="s">
        <v>18</v>
      </c>
      <c r="G323" s="7" t="s">
        <v>128</v>
      </c>
      <c r="H323" s="8" t="str">
        <f t="shared" si="3"/>
        <v>14.4.10. Propolis - Consumer - Distance to Place of Sale (in KM) propolis_consumer_dist21</v>
      </c>
      <c r="I323" s="9"/>
      <c r="J323" s="9"/>
      <c r="K323" s="8" t="s">
        <v>1001</v>
      </c>
      <c r="L323" s="9"/>
      <c r="M323" s="9"/>
      <c r="N323" s="9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</row>
    <row r="324" spans="1:31" x14ac:dyDescent="0.25">
      <c r="A324" s="7" t="s">
        <v>1033</v>
      </c>
      <c r="B324" s="8" t="s">
        <v>1034</v>
      </c>
      <c r="C324" s="8"/>
      <c r="D324" s="8" t="s">
        <v>1035</v>
      </c>
      <c r="E324" s="8" t="s">
        <v>666</v>
      </c>
      <c r="F324" s="7" t="s">
        <v>337</v>
      </c>
      <c r="G324" s="7" t="s">
        <v>128</v>
      </c>
      <c r="H324" s="8" t="str">
        <f t="shared" si="3"/>
        <v>14.4.11. Propolis - Private Retailer - Quantity (Kg) propolis_private_qty21</v>
      </c>
      <c r="I324" s="9"/>
      <c r="J324" s="9"/>
      <c r="K324" s="8" t="s">
        <v>1001</v>
      </c>
      <c r="L324" s="9"/>
      <c r="M324" s="9"/>
      <c r="N324" s="9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</row>
    <row r="325" spans="1:31" x14ac:dyDescent="0.25">
      <c r="A325" s="7" t="s">
        <v>1036</v>
      </c>
      <c r="B325" s="8" t="s">
        <v>1037</v>
      </c>
      <c r="C325" s="8"/>
      <c r="D325" s="8" t="s">
        <v>1038</v>
      </c>
      <c r="E325" s="8" t="s">
        <v>670</v>
      </c>
      <c r="F325" s="7" t="s">
        <v>337</v>
      </c>
      <c r="G325" s="7" t="s">
        <v>128</v>
      </c>
      <c r="H325" s="8" t="str">
        <f t="shared" si="3"/>
        <v>14.4.12. Propolis - Private Retailer - Price (Rs/Kg) propolis_private_price21</v>
      </c>
      <c r="I325" s="9"/>
      <c r="J325" s="9"/>
      <c r="K325" s="8" t="s">
        <v>1001</v>
      </c>
      <c r="L325" s="9"/>
      <c r="M325" s="9"/>
      <c r="N325" s="9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</row>
    <row r="326" spans="1:31" x14ac:dyDescent="0.25">
      <c r="A326" s="7" t="s">
        <v>1039</v>
      </c>
      <c r="B326" s="8" t="s">
        <v>1040</v>
      </c>
      <c r="C326" s="8"/>
      <c r="D326" s="8" t="s">
        <v>1041</v>
      </c>
      <c r="E326" s="8" t="s">
        <v>640</v>
      </c>
      <c r="F326" s="7" t="s">
        <v>18</v>
      </c>
      <c r="G326" s="7" t="s">
        <v>128</v>
      </c>
      <c r="H326" s="8" t="str">
        <f t="shared" si="3"/>
        <v>14.4.13. Propolis - Private Retailer - Distance to Place of Sale (in KM) propolis_private_dist21</v>
      </c>
      <c r="I326" s="9"/>
      <c r="J326" s="9"/>
      <c r="K326" s="8" t="s">
        <v>1001</v>
      </c>
      <c r="L326" s="9"/>
      <c r="M326" s="9"/>
      <c r="N326" s="9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</row>
    <row r="327" spans="1:31" x14ac:dyDescent="0.25">
      <c r="A327" s="7" t="s">
        <v>1042</v>
      </c>
      <c r="B327" s="8" t="s">
        <v>1043</v>
      </c>
      <c r="C327" s="8"/>
      <c r="D327" s="8" t="s">
        <v>1044</v>
      </c>
      <c r="E327" s="8" t="s">
        <v>677</v>
      </c>
      <c r="F327" s="7" t="s">
        <v>337</v>
      </c>
      <c r="G327" s="7" t="s">
        <v>128</v>
      </c>
      <c r="H327" s="8" t="str">
        <f t="shared" si="3"/>
        <v>14.4.14. Propolis - Honey Processing - Unit Quantity (Kg) propolis_honey_qty21</v>
      </c>
      <c r="I327" s="9"/>
      <c r="J327" s="9"/>
      <c r="K327" s="8" t="s">
        <v>1001</v>
      </c>
      <c r="L327" s="9"/>
      <c r="M327" s="9"/>
      <c r="N327" s="9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</row>
    <row r="328" spans="1:31" x14ac:dyDescent="0.25">
      <c r="A328" s="7" t="s">
        <v>1045</v>
      </c>
      <c r="B328" s="8" t="s">
        <v>1046</v>
      </c>
      <c r="C328" s="8"/>
      <c r="D328" s="8" t="s">
        <v>1047</v>
      </c>
      <c r="E328" s="8" t="s">
        <v>681</v>
      </c>
      <c r="F328" s="7" t="s">
        <v>337</v>
      </c>
      <c r="G328" s="7" t="s">
        <v>128</v>
      </c>
      <c r="H328" s="8" t="str">
        <f t="shared" si="3"/>
        <v>14.4.15. Propolis - Honey Processing - Unit Price (Rs/Kg) propolis_honey_price21</v>
      </c>
      <c r="I328" s="9"/>
      <c r="J328" s="9"/>
      <c r="K328" s="8" t="s">
        <v>1001</v>
      </c>
      <c r="L328" s="9"/>
      <c r="M328" s="9"/>
      <c r="N328" s="9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</row>
    <row r="329" spans="1:31" x14ac:dyDescent="0.25">
      <c r="A329" s="7" t="s">
        <v>1048</v>
      </c>
      <c r="B329" s="8" t="s">
        <v>1049</v>
      </c>
      <c r="C329" s="8"/>
      <c r="D329" s="8" t="s">
        <v>1050</v>
      </c>
      <c r="E329" s="8" t="s">
        <v>640</v>
      </c>
      <c r="F329" s="7" t="s">
        <v>18</v>
      </c>
      <c r="G329" s="7" t="s">
        <v>128</v>
      </c>
      <c r="H329" s="8" t="str">
        <f t="shared" si="3"/>
        <v>14.4.16. Propolis - Honey Processing - Distance to Place of Sale (in KM) propolis_honey_dist21</v>
      </c>
      <c r="I329" s="9"/>
      <c r="J329" s="9"/>
      <c r="K329" s="8" t="s">
        <v>1001</v>
      </c>
      <c r="L329" s="9"/>
      <c r="M329" s="9"/>
      <c r="N329" s="9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</row>
    <row r="330" spans="1:31" x14ac:dyDescent="0.25">
      <c r="A330" s="7" t="s">
        <v>1051</v>
      </c>
      <c r="B330" s="8" t="s">
        <v>1052</v>
      </c>
      <c r="C330" s="8"/>
      <c r="D330" s="8" t="s">
        <v>1053</v>
      </c>
      <c r="E330" s="8" t="s">
        <v>688</v>
      </c>
      <c r="F330" s="7" t="s">
        <v>26</v>
      </c>
      <c r="G330" s="9"/>
      <c r="H330" s="8" t="str">
        <f t="shared" si="3"/>
        <v>14.4.17. Propolis - Honey Processing Unit Name propolis_honey_unitname21</v>
      </c>
      <c r="I330" s="9"/>
      <c r="J330" s="9"/>
      <c r="K330" s="8" t="s">
        <v>1001</v>
      </c>
      <c r="L330" s="8" t="s">
        <v>863</v>
      </c>
      <c r="M330" s="9"/>
      <c r="N330" s="9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</row>
    <row r="331" spans="1:31" x14ac:dyDescent="0.25">
      <c r="A331" s="7" t="s">
        <v>1054</v>
      </c>
      <c r="B331" s="8" t="s">
        <v>1055</v>
      </c>
      <c r="C331" s="8"/>
      <c r="D331" s="8" t="s">
        <v>1056</v>
      </c>
      <c r="E331" s="8" t="s">
        <v>694</v>
      </c>
      <c r="F331" s="7" t="s">
        <v>18</v>
      </c>
      <c r="G331" s="9"/>
      <c r="H331" s="8" t="str">
        <f t="shared" si="3"/>
        <v>14.4.18. Propolis - Honey Processing Unit Name - Other propolis_honey_unitname21_other</v>
      </c>
      <c r="I331" s="9"/>
      <c r="J331" s="9"/>
      <c r="K331" s="8" t="s">
        <v>1057</v>
      </c>
      <c r="L331" s="9"/>
      <c r="M331" s="9"/>
      <c r="N331" s="9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</row>
    <row r="332" spans="1:31" x14ac:dyDescent="0.25">
      <c r="A332" s="12" t="s">
        <v>1058</v>
      </c>
      <c r="B332" s="3"/>
      <c r="C332" s="2"/>
      <c r="D332" s="2" t="s">
        <v>389</v>
      </c>
      <c r="E332" s="2" t="s">
        <v>390</v>
      </c>
      <c r="F332" s="3"/>
      <c r="G332" s="3"/>
      <c r="H332" s="2" t="str">
        <f t="shared" si="3"/>
        <v xml:space="preserve">14.5. Venom 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x14ac:dyDescent="0.25">
      <c r="A333" s="7" t="s">
        <v>1058</v>
      </c>
      <c r="B333" s="8" t="s">
        <v>1059</v>
      </c>
      <c r="C333" s="8"/>
      <c r="D333" s="8" t="s">
        <v>389</v>
      </c>
      <c r="E333" s="8" t="s">
        <v>390</v>
      </c>
      <c r="F333" s="7" t="s">
        <v>26</v>
      </c>
      <c r="G333" s="9"/>
      <c r="H333" s="8" t="str">
        <f t="shared" si="3"/>
        <v>14.5. Venom venom_coproduct21</v>
      </c>
      <c r="I333" s="9"/>
      <c r="J333" s="9"/>
      <c r="K333" s="9"/>
      <c r="L333" s="8" t="s">
        <v>124</v>
      </c>
      <c r="M333" s="9"/>
      <c r="N333" s="9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</row>
    <row r="334" spans="1:31" x14ac:dyDescent="0.25">
      <c r="A334" s="7" t="s">
        <v>1060</v>
      </c>
      <c r="B334" s="8" t="s">
        <v>1061</v>
      </c>
      <c r="C334" s="8"/>
      <c r="D334" s="8" t="s">
        <v>1062</v>
      </c>
      <c r="E334" s="8" t="s">
        <v>1063</v>
      </c>
      <c r="F334" s="7" t="s">
        <v>18</v>
      </c>
      <c r="G334" s="7" t="s">
        <v>128</v>
      </c>
      <c r="H334" s="8" t="str">
        <f t="shared" si="3"/>
        <v>14.5.1. Venom - Total Cost of Beekeeping Co-Product (Rs.) venom_coproduct_totalcost21</v>
      </c>
      <c r="I334" s="9"/>
      <c r="J334" s="9"/>
      <c r="K334" s="8" t="s">
        <v>1064</v>
      </c>
      <c r="L334" s="9"/>
      <c r="M334" s="9"/>
      <c r="N334" s="9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</row>
    <row r="335" spans="1:31" x14ac:dyDescent="0.25">
      <c r="A335" s="7" t="s">
        <v>1065</v>
      </c>
      <c r="B335" s="8" t="s">
        <v>1066</v>
      </c>
      <c r="C335" s="8"/>
      <c r="D335" s="8" t="s">
        <v>1067</v>
      </c>
      <c r="E335" s="8" t="s">
        <v>1068</v>
      </c>
      <c r="F335" s="7" t="s">
        <v>18</v>
      </c>
      <c r="G335" s="7" t="s">
        <v>128</v>
      </c>
      <c r="H335" s="8" t="str">
        <f t="shared" si="3"/>
        <v>(A) 14.5.1, Venom - Total By Product Outcomes venom_byproduct_outcomes21</v>
      </c>
      <c r="I335" s="9"/>
      <c r="J335" s="9"/>
      <c r="K335" s="8" t="s">
        <v>1064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</row>
    <row r="336" spans="1:31" x14ac:dyDescent="0.25">
      <c r="A336" s="7" t="s">
        <v>1069</v>
      </c>
      <c r="B336" s="8" t="s">
        <v>1070</v>
      </c>
      <c r="C336" s="8"/>
      <c r="D336" s="8" t="s">
        <v>1071</v>
      </c>
      <c r="E336" s="8" t="s">
        <v>632</v>
      </c>
      <c r="F336" s="7" t="s">
        <v>18</v>
      </c>
      <c r="G336" s="7" t="s">
        <v>128</v>
      </c>
      <c r="H336" s="8" t="str">
        <f t="shared" si="3"/>
        <v>14.5.2. Venom - Local Shop - Quantity (Kg) venom_local_qty21</v>
      </c>
      <c r="I336" s="9"/>
      <c r="J336" s="9"/>
      <c r="K336" s="8" t="s">
        <v>1064</v>
      </c>
      <c r="L336" s="9"/>
      <c r="M336" s="9"/>
      <c r="N336" s="9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</row>
    <row r="337" spans="1:31" x14ac:dyDescent="0.25">
      <c r="A337" s="7" t="s">
        <v>1072</v>
      </c>
      <c r="B337" s="8" t="s">
        <v>1073</v>
      </c>
      <c r="C337" s="8"/>
      <c r="D337" s="8" t="s">
        <v>1074</v>
      </c>
      <c r="E337" s="8" t="s">
        <v>636</v>
      </c>
      <c r="F337" s="7" t="s">
        <v>18</v>
      </c>
      <c r="G337" s="7" t="s">
        <v>128</v>
      </c>
      <c r="H337" s="8" t="str">
        <f t="shared" si="3"/>
        <v>14.5.3. Venom - Local Shop - Price (Rs/Kg) pollen_localsh_price21</v>
      </c>
      <c r="I337" s="9"/>
      <c r="J337" s="9"/>
      <c r="K337" s="8" t="s">
        <v>1064</v>
      </c>
      <c r="L337" s="9"/>
      <c r="M337" s="9"/>
      <c r="N337" s="9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</row>
    <row r="338" spans="1:31" x14ac:dyDescent="0.25">
      <c r="A338" s="7" t="s">
        <v>1075</v>
      </c>
      <c r="B338" s="8" t="s">
        <v>1076</v>
      </c>
      <c r="C338" s="8"/>
      <c r="D338" s="8" t="s">
        <v>1077</v>
      </c>
      <c r="E338" s="8" t="s">
        <v>1078</v>
      </c>
      <c r="F338" s="7" t="s">
        <v>18</v>
      </c>
      <c r="G338" s="9"/>
      <c r="H338" s="8" t="str">
        <f t="shared" si="3"/>
        <v>14.5.4. Venom - Local Shop - Distance to Place of Sale (in KM) venom_local_dist21</v>
      </c>
      <c r="I338" s="9"/>
      <c r="J338" s="9"/>
      <c r="K338" s="8" t="s">
        <v>1064</v>
      </c>
      <c r="L338" s="9"/>
      <c r="M338" s="9"/>
      <c r="N338" s="9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</row>
    <row r="339" spans="1:31" x14ac:dyDescent="0.25">
      <c r="A339" s="7" t="s">
        <v>1079</v>
      </c>
      <c r="B339" s="8" t="s">
        <v>1080</v>
      </c>
      <c r="C339" s="8"/>
      <c r="D339" s="8" t="s">
        <v>1081</v>
      </c>
      <c r="E339" s="8" t="s">
        <v>644</v>
      </c>
      <c r="F339" s="7" t="s">
        <v>18</v>
      </c>
      <c r="G339" s="7" t="s">
        <v>128</v>
      </c>
      <c r="H339" s="8" t="str">
        <f t="shared" si="3"/>
        <v>14.5.5. Venom - Fair/Exhibition - Quantity (Kg) venom_fair_qty21</v>
      </c>
      <c r="I339" s="9"/>
      <c r="J339" s="9"/>
      <c r="K339" s="8" t="s">
        <v>1064</v>
      </c>
      <c r="L339" s="9"/>
      <c r="M339" s="9"/>
      <c r="N339" s="9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</row>
    <row r="340" spans="1:31" x14ac:dyDescent="0.25">
      <c r="A340" s="7" t="s">
        <v>1082</v>
      </c>
      <c r="B340" s="8" t="s">
        <v>1083</v>
      </c>
      <c r="C340" s="8"/>
      <c r="D340" s="8" t="s">
        <v>1084</v>
      </c>
      <c r="E340" s="8" t="s">
        <v>648</v>
      </c>
      <c r="F340" s="7" t="s">
        <v>18</v>
      </c>
      <c r="G340" s="7" t="s">
        <v>128</v>
      </c>
      <c r="H340" s="8" t="str">
        <f t="shared" si="3"/>
        <v>14.5.6. Venom - Fair/Exhibition - Price (Rs/Kg) venom_fair_price21</v>
      </c>
      <c r="I340" s="9"/>
      <c r="J340" s="9"/>
      <c r="K340" s="8" t="s">
        <v>1064</v>
      </c>
      <c r="L340" s="9"/>
      <c r="M340" s="9"/>
      <c r="N340" s="9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</row>
    <row r="341" spans="1:31" x14ac:dyDescent="0.25">
      <c r="A341" s="7" t="s">
        <v>1085</v>
      </c>
      <c r="B341" s="8" t="s">
        <v>1086</v>
      </c>
      <c r="C341" s="8"/>
      <c r="D341" s="8" t="s">
        <v>1087</v>
      </c>
      <c r="E341" s="8" t="s">
        <v>1078</v>
      </c>
      <c r="F341" s="7" t="s">
        <v>18</v>
      </c>
      <c r="G341" s="9"/>
      <c r="H341" s="8" t="str">
        <f t="shared" si="3"/>
        <v>14.5.7. Venom - Fair/Exhibition - Distance to Place of Sale (in KM) venom_fair_dist21</v>
      </c>
      <c r="I341" s="9"/>
      <c r="J341" s="9"/>
      <c r="K341" s="8" t="s">
        <v>1064</v>
      </c>
      <c r="L341" s="9"/>
      <c r="M341" s="9"/>
      <c r="N341" s="9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</row>
    <row r="342" spans="1:31" x14ac:dyDescent="0.25">
      <c r="A342" s="7" t="s">
        <v>1088</v>
      </c>
      <c r="B342" s="8" t="s">
        <v>1089</v>
      </c>
      <c r="C342" s="8"/>
      <c r="D342" s="8" t="s">
        <v>1090</v>
      </c>
      <c r="E342" s="8" t="s">
        <v>655</v>
      </c>
      <c r="F342" s="7" t="s">
        <v>337</v>
      </c>
      <c r="G342" s="7" t="s">
        <v>128</v>
      </c>
      <c r="H342" s="8" t="str">
        <f t="shared" si="3"/>
        <v>14.5.8. Venom - Consumer - Quantity (Kg) venom_consumer_qty21</v>
      </c>
      <c r="I342" s="9"/>
      <c r="J342" s="9"/>
      <c r="K342" s="8" t="s">
        <v>1064</v>
      </c>
      <c r="L342" s="9"/>
      <c r="M342" s="9"/>
      <c r="N342" s="9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</row>
    <row r="343" spans="1:31" x14ac:dyDescent="0.25">
      <c r="A343" s="7" t="s">
        <v>1091</v>
      </c>
      <c r="B343" s="8" t="s">
        <v>1092</v>
      </c>
      <c r="C343" s="8"/>
      <c r="D343" s="8" t="s">
        <v>1093</v>
      </c>
      <c r="E343" s="8" t="s">
        <v>659</v>
      </c>
      <c r="F343" s="7" t="s">
        <v>337</v>
      </c>
      <c r="G343" s="7" t="s">
        <v>128</v>
      </c>
      <c r="H343" s="8" t="str">
        <f t="shared" si="3"/>
        <v>14.5.9. Venom - Consumer - Price (Rs/Kg) venom_consumer_price21</v>
      </c>
      <c r="I343" s="9"/>
      <c r="J343" s="9"/>
      <c r="K343" s="8" t="s">
        <v>1064</v>
      </c>
      <c r="L343" s="9"/>
      <c r="M343" s="9"/>
      <c r="N343" s="9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</row>
    <row r="344" spans="1:31" x14ac:dyDescent="0.25">
      <c r="A344" s="7" t="s">
        <v>1094</v>
      </c>
      <c r="B344" s="8" t="s">
        <v>1095</v>
      </c>
      <c r="C344" s="8"/>
      <c r="D344" s="8" t="s">
        <v>1096</v>
      </c>
      <c r="E344" s="8" t="s">
        <v>1078</v>
      </c>
      <c r="F344" s="7" t="s">
        <v>18</v>
      </c>
      <c r="G344" s="9"/>
      <c r="H344" s="8" t="str">
        <f t="shared" si="3"/>
        <v>14.5.10. Venom - Consumer - Distance to Place of Sale (in KM) venom_consumer_dist21</v>
      </c>
      <c r="I344" s="9"/>
      <c r="J344" s="9"/>
      <c r="K344" s="8" t="s">
        <v>1064</v>
      </c>
      <c r="L344" s="9"/>
      <c r="M344" s="9"/>
      <c r="N344" s="9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</row>
    <row r="345" spans="1:31" x14ac:dyDescent="0.25">
      <c r="A345" s="7" t="s">
        <v>1097</v>
      </c>
      <c r="B345" s="8" t="s">
        <v>1098</v>
      </c>
      <c r="C345" s="8"/>
      <c r="D345" s="8" t="s">
        <v>1099</v>
      </c>
      <c r="E345" s="8" t="s">
        <v>666</v>
      </c>
      <c r="F345" s="7" t="s">
        <v>337</v>
      </c>
      <c r="G345" s="7" t="s">
        <v>128</v>
      </c>
      <c r="H345" s="8" t="str">
        <f t="shared" si="3"/>
        <v>14.5.11. Venom - Private Retailer - Quantity (Kg) venom_private_qty21</v>
      </c>
      <c r="I345" s="9"/>
      <c r="J345" s="9"/>
      <c r="K345" s="8" t="s">
        <v>1064</v>
      </c>
      <c r="L345" s="9"/>
      <c r="M345" s="9"/>
      <c r="N345" s="9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</row>
    <row r="346" spans="1:31" x14ac:dyDescent="0.25">
      <c r="A346" s="7" t="s">
        <v>845</v>
      </c>
      <c r="B346" s="8" t="s">
        <v>1100</v>
      </c>
      <c r="C346" s="8"/>
      <c r="D346" s="8" t="s">
        <v>1101</v>
      </c>
      <c r="E346" s="8" t="s">
        <v>670</v>
      </c>
      <c r="F346" s="7" t="s">
        <v>337</v>
      </c>
      <c r="G346" s="7" t="s">
        <v>128</v>
      </c>
      <c r="H346" s="8" t="str">
        <f t="shared" si="3"/>
        <v>14.1.12. Venom - Private Retailer - Price (Rs/Kg) venom_private_price21</v>
      </c>
      <c r="I346" s="9"/>
      <c r="J346" s="9"/>
      <c r="K346" s="8" t="s">
        <v>1064</v>
      </c>
      <c r="L346" s="9"/>
      <c r="M346" s="9"/>
      <c r="N346" s="9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</row>
    <row r="347" spans="1:31" x14ac:dyDescent="0.25">
      <c r="A347" s="7" t="s">
        <v>1102</v>
      </c>
      <c r="B347" s="8" t="s">
        <v>1103</v>
      </c>
      <c r="C347" s="8"/>
      <c r="D347" s="8" t="s">
        <v>1104</v>
      </c>
      <c r="E347" s="8" t="s">
        <v>1078</v>
      </c>
      <c r="F347" s="7" t="s">
        <v>18</v>
      </c>
      <c r="G347" s="9"/>
      <c r="H347" s="8" t="str">
        <f t="shared" si="3"/>
        <v>14.5.13. Venom - Private Retailer - Distance to Place of Sale (in KM) venom_private_dist21</v>
      </c>
      <c r="I347" s="9"/>
      <c r="J347" s="9"/>
      <c r="K347" s="8" t="s">
        <v>1064</v>
      </c>
      <c r="L347" s="9"/>
      <c r="M347" s="9"/>
      <c r="N347" s="9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</row>
    <row r="348" spans="1:31" x14ac:dyDescent="0.25">
      <c r="A348" s="7" t="s">
        <v>1105</v>
      </c>
      <c r="B348" s="8" t="s">
        <v>1106</v>
      </c>
      <c r="C348" s="8"/>
      <c r="D348" s="8" t="s">
        <v>1107</v>
      </c>
      <c r="E348" s="8" t="s">
        <v>677</v>
      </c>
      <c r="F348" s="7" t="s">
        <v>337</v>
      </c>
      <c r="G348" s="7" t="s">
        <v>128</v>
      </c>
      <c r="H348" s="8" t="str">
        <f t="shared" si="3"/>
        <v>14.5.14. Venom - Honey Processing - Unit Quantity (Kg) venom_honey_quty21</v>
      </c>
      <c r="I348" s="9"/>
      <c r="J348" s="9"/>
      <c r="K348" s="8" t="s">
        <v>1064</v>
      </c>
      <c r="L348" s="9"/>
      <c r="M348" s="9"/>
      <c r="N348" s="9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</row>
    <row r="349" spans="1:31" x14ac:dyDescent="0.25">
      <c r="A349" s="7" t="s">
        <v>1108</v>
      </c>
      <c r="B349" s="8" t="s">
        <v>1109</v>
      </c>
      <c r="C349" s="8"/>
      <c r="D349" s="8" t="s">
        <v>1110</v>
      </c>
      <c r="E349" s="8" t="s">
        <v>681</v>
      </c>
      <c r="F349" s="7" t="s">
        <v>337</v>
      </c>
      <c r="G349" s="7" t="s">
        <v>128</v>
      </c>
      <c r="H349" s="8" t="str">
        <f t="shared" si="3"/>
        <v>14.5.15. Venom - Honey Processing - Unit Price (Rs/Kg) venom_honey_price21</v>
      </c>
      <c r="I349" s="9"/>
      <c r="J349" s="9"/>
      <c r="K349" s="8" t="s">
        <v>1111</v>
      </c>
      <c r="L349" s="9"/>
      <c r="M349" s="9"/>
      <c r="N349" s="9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</row>
    <row r="350" spans="1:31" x14ac:dyDescent="0.25">
      <c r="A350" s="7" t="s">
        <v>1112</v>
      </c>
      <c r="B350" s="8" t="s">
        <v>1113</v>
      </c>
      <c r="C350" s="8"/>
      <c r="D350" s="8" t="s">
        <v>1114</v>
      </c>
      <c r="E350" s="8" t="s">
        <v>1078</v>
      </c>
      <c r="F350" s="7" t="s">
        <v>18</v>
      </c>
      <c r="G350" s="9"/>
      <c r="H350" s="8" t="str">
        <f t="shared" si="3"/>
        <v>14.5.16. Venom - Honey Processing - Distance to Place of Sale (in KM) venom_honey_dist21</v>
      </c>
      <c r="I350" s="9"/>
      <c r="J350" s="9"/>
      <c r="K350" s="8" t="s">
        <v>1064</v>
      </c>
      <c r="L350" s="9"/>
      <c r="M350" s="9"/>
      <c r="N350" s="9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</row>
    <row r="351" spans="1:31" x14ac:dyDescent="0.25">
      <c r="A351" s="7" t="s">
        <v>1115</v>
      </c>
      <c r="B351" s="8" t="s">
        <v>1116</v>
      </c>
      <c r="C351" s="8"/>
      <c r="D351" s="8" t="s">
        <v>1117</v>
      </c>
      <c r="E351" s="8" t="s">
        <v>688</v>
      </c>
      <c r="F351" s="7" t="s">
        <v>26</v>
      </c>
      <c r="G351" s="9"/>
      <c r="H351" s="8" t="str">
        <f t="shared" si="3"/>
        <v>14.5.17. Venom - Honey Processing Unit Name venom_honey_unitname21</v>
      </c>
      <c r="I351" s="9"/>
      <c r="J351" s="9"/>
      <c r="K351" s="8" t="s">
        <v>1064</v>
      </c>
      <c r="L351" s="8" t="s">
        <v>863</v>
      </c>
      <c r="M351" s="9"/>
      <c r="N351" s="9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</row>
    <row r="352" spans="1:31" x14ac:dyDescent="0.25">
      <c r="A352" s="7" t="s">
        <v>1118</v>
      </c>
      <c r="B352" s="8" t="s">
        <v>1119</v>
      </c>
      <c r="C352" s="8"/>
      <c r="D352" s="8" t="s">
        <v>1120</v>
      </c>
      <c r="E352" s="8" t="s">
        <v>694</v>
      </c>
      <c r="F352" s="7" t="s">
        <v>18</v>
      </c>
      <c r="G352" s="9"/>
      <c r="H352" s="8" t="str">
        <f t="shared" si="3"/>
        <v>14.5.18. Venom - Honey Processing Unit Name - Other venom_honey_unitname21_other</v>
      </c>
      <c r="I352" s="9"/>
      <c r="J352" s="9"/>
      <c r="K352" s="8" t="s">
        <v>1121</v>
      </c>
      <c r="L352" s="9"/>
      <c r="M352" s="9"/>
      <c r="N352" s="9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</row>
    <row r="353" spans="1:31" x14ac:dyDescent="0.25">
      <c r="A353" s="4" t="s">
        <v>181</v>
      </c>
      <c r="B353" s="5"/>
      <c r="C353" s="6"/>
      <c r="D353" s="6">
        <v>2022</v>
      </c>
      <c r="E353" s="5"/>
      <c r="F353" s="5"/>
      <c r="G353" s="5"/>
      <c r="H353" s="6" t="str">
        <f t="shared" si="3"/>
        <v xml:space="preserve"># 2022 </v>
      </c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</row>
    <row r="354" spans="1:31" x14ac:dyDescent="0.25">
      <c r="A354" s="12" t="s">
        <v>800</v>
      </c>
      <c r="B354" s="3"/>
      <c r="C354" s="2"/>
      <c r="D354" s="2" t="s">
        <v>345</v>
      </c>
      <c r="E354" s="2" t="s">
        <v>346</v>
      </c>
      <c r="F354" s="1" t="s">
        <v>96</v>
      </c>
      <c r="G354" s="3"/>
      <c r="H354" s="2" t="str">
        <f t="shared" si="3"/>
        <v xml:space="preserve">14.1. Beeswax </v>
      </c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x14ac:dyDescent="0.25">
      <c r="A355" s="7" t="s">
        <v>800</v>
      </c>
      <c r="B355" s="8" t="s">
        <v>1122</v>
      </c>
      <c r="C355" s="8"/>
      <c r="D355" s="8" t="s">
        <v>345</v>
      </c>
      <c r="E355" s="8" t="s">
        <v>346</v>
      </c>
      <c r="F355" s="7" t="s">
        <v>26</v>
      </c>
      <c r="G355" s="9"/>
      <c r="H355" s="8" t="str">
        <f t="shared" si="3"/>
        <v>14.1. Beeswax beeswax_coproduct22</v>
      </c>
      <c r="I355" s="9"/>
      <c r="J355" s="9"/>
      <c r="K355" s="9"/>
      <c r="L355" s="8" t="s">
        <v>124</v>
      </c>
      <c r="M355" s="9"/>
      <c r="N355" s="9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</row>
    <row r="356" spans="1:31" x14ac:dyDescent="0.25">
      <c r="A356" s="7" t="s">
        <v>802</v>
      </c>
      <c r="B356" s="8" t="s">
        <v>1123</v>
      </c>
      <c r="C356" s="8"/>
      <c r="D356" s="8" t="s">
        <v>804</v>
      </c>
      <c r="E356" s="8" t="s">
        <v>805</v>
      </c>
      <c r="F356" s="7" t="s">
        <v>18</v>
      </c>
      <c r="G356" s="7" t="s">
        <v>128</v>
      </c>
      <c r="H356" s="8" t="str">
        <f t="shared" si="3"/>
        <v>14.1.1, Beeswax - Total Cost of Beekeeping Co-Product (Rs.) beeswax_coproduct_totalcost22</v>
      </c>
      <c r="I356" s="9"/>
      <c r="J356" s="9"/>
      <c r="K356" s="8" t="s">
        <v>1124</v>
      </c>
      <c r="L356" s="9"/>
      <c r="M356" s="9"/>
      <c r="N356" s="9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</row>
    <row r="357" spans="1:31" x14ac:dyDescent="0.25">
      <c r="A357" s="7" t="s">
        <v>807</v>
      </c>
      <c r="B357" s="8" t="s">
        <v>1125</v>
      </c>
      <c r="C357" s="8"/>
      <c r="D357" s="8" t="s">
        <v>1126</v>
      </c>
      <c r="E357" s="8" t="s">
        <v>810</v>
      </c>
      <c r="F357" s="7" t="s">
        <v>18</v>
      </c>
      <c r="G357" s="7" t="s">
        <v>128</v>
      </c>
      <c r="H357" s="8" t="str">
        <f t="shared" si="3"/>
        <v>(A) 14.1.1, Beeswax - Total By Product Outcomes beeswax_byproduct_outcomes22</v>
      </c>
      <c r="I357" s="9"/>
      <c r="J357" s="9"/>
      <c r="K357" s="8" t="s">
        <v>1124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</row>
    <row r="358" spans="1:31" x14ac:dyDescent="0.25">
      <c r="A358" s="7" t="s">
        <v>811</v>
      </c>
      <c r="B358" s="8" t="s">
        <v>1127</v>
      </c>
      <c r="C358" s="8"/>
      <c r="D358" s="8" t="s">
        <v>813</v>
      </c>
      <c r="E358" s="8" t="s">
        <v>1128</v>
      </c>
      <c r="F358" s="7" t="s">
        <v>18</v>
      </c>
      <c r="G358" s="7" t="s">
        <v>18</v>
      </c>
      <c r="H358" s="8" t="str">
        <f t="shared" si="3"/>
        <v>14.1.2. If don't sell and use personally then please specify beeswax_personal_use_explanation22</v>
      </c>
      <c r="I358" s="9"/>
      <c r="J358" s="9" t="s">
        <v>1124</v>
      </c>
      <c r="K358" s="8" t="s">
        <v>1124</v>
      </c>
      <c r="L358" s="9"/>
      <c r="M358" s="9"/>
      <c r="N358" s="9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</row>
    <row r="359" spans="1:31" x14ac:dyDescent="0.25">
      <c r="A359" s="7" t="s">
        <v>815</v>
      </c>
      <c r="B359" s="8" t="s">
        <v>1129</v>
      </c>
      <c r="C359" s="8"/>
      <c r="D359" s="8" t="s">
        <v>1130</v>
      </c>
      <c r="E359" s="8" t="s">
        <v>632</v>
      </c>
      <c r="F359" s="7" t="s">
        <v>18</v>
      </c>
      <c r="G359" s="7" t="s">
        <v>128</v>
      </c>
      <c r="H359" s="8" t="str">
        <f t="shared" si="3"/>
        <v>14.1.2, Beeswax - Local Shop - Quantity (Kg) beeswax_local_qty22</v>
      </c>
      <c r="I359" s="9"/>
      <c r="J359" s="9"/>
      <c r="K359" s="8" t="s">
        <v>1124</v>
      </c>
      <c r="L359" s="9"/>
      <c r="M359" s="9"/>
      <c r="N359" s="9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</row>
    <row r="360" spans="1:31" x14ac:dyDescent="0.25">
      <c r="A360" s="7" t="s">
        <v>818</v>
      </c>
      <c r="B360" s="8" t="s">
        <v>1131</v>
      </c>
      <c r="C360" s="8"/>
      <c r="D360" s="8" t="s">
        <v>820</v>
      </c>
      <c r="E360" s="8" t="s">
        <v>636</v>
      </c>
      <c r="F360" s="7" t="s">
        <v>18</v>
      </c>
      <c r="G360" s="7" t="s">
        <v>128</v>
      </c>
      <c r="H360" s="8" t="str">
        <f t="shared" si="3"/>
        <v>14.1.3, Beeswax - Local Shop - Price (Rs/Kg) beeswax_local_price22</v>
      </c>
      <c r="I360" s="9"/>
      <c r="J360" s="9"/>
      <c r="K360" s="8" t="s">
        <v>1124</v>
      </c>
      <c r="L360" s="9"/>
      <c r="M360" s="9"/>
      <c r="N360" s="9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</row>
    <row r="361" spans="1:31" x14ac:dyDescent="0.25">
      <c r="A361" s="7" t="s">
        <v>821</v>
      </c>
      <c r="B361" s="8" t="s">
        <v>1132</v>
      </c>
      <c r="C361" s="8"/>
      <c r="D361" s="8" t="s">
        <v>823</v>
      </c>
      <c r="E361" s="8" t="s">
        <v>1078</v>
      </c>
      <c r="F361" s="7" t="s">
        <v>18</v>
      </c>
      <c r="G361" s="7" t="s">
        <v>128</v>
      </c>
      <c r="H361" s="8" t="str">
        <f t="shared" si="3"/>
        <v>14.1.4, Beeswax - Local Shop - Distance to Place of Sale (in KM) beeswax_local_dist22</v>
      </c>
      <c r="I361" s="9"/>
      <c r="J361" s="9"/>
      <c r="K361" s="8" t="s">
        <v>1124</v>
      </c>
      <c r="L361" s="9"/>
      <c r="M361" s="9"/>
      <c r="N361" s="9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</row>
    <row r="362" spans="1:31" x14ac:dyDescent="0.25">
      <c r="A362" s="7" t="s">
        <v>824</v>
      </c>
      <c r="B362" s="8" t="s">
        <v>1133</v>
      </c>
      <c r="C362" s="8"/>
      <c r="D362" s="8" t="s">
        <v>1134</v>
      </c>
      <c r="E362" s="8" t="s">
        <v>644</v>
      </c>
      <c r="F362" s="7" t="s">
        <v>18</v>
      </c>
      <c r="G362" s="7" t="s">
        <v>128</v>
      </c>
      <c r="H362" s="8" t="str">
        <f t="shared" si="3"/>
        <v>14.1.5, Beeswax - Fair/Exhibition - Quantity (Kg) beeswax_fair_qty22</v>
      </c>
      <c r="I362" s="9"/>
      <c r="J362" s="9"/>
      <c r="K362" s="8" t="s">
        <v>1124</v>
      </c>
      <c r="L362" s="9"/>
      <c r="M362" s="9"/>
      <c r="N362" s="9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</row>
    <row r="363" spans="1:31" x14ac:dyDescent="0.25">
      <c r="A363" s="7" t="s">
        <v>827</v>
      </c>
      <c r="B363" s="8" t="s">
        <v>1135</v>
      </c>
      <c r="C363" s="8"/>
      <c r="D363" s="8" t="s">
        <v>829</v>
      </c>
      <c r="E363" s="8" t="s">
        <v>648</v>
      </c>
      <c r="F363" s="7" t="s">
        <v>18</v>
      </c>
      <c r="G363" s="7" t="s">
        <v>128</v>
      </c>
      <c r="H363" s="8" t="str">
        <f t="shared" si="3"/>
        <v>14.1.6, Beeswax - Fair/Exhibition - Price (Rs/Kg) beeswax_fair_price22</v>
      </c>
      <c r="I363" s="9"/>
      <c r="J363" s="9"/>
      <c r="K363" s="8" t="s">
        <v>1124</v>
      </c>
      <c r="L363" s="9"/>
      <c r="M363" s="9"/>
      <c r="N363" s="9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</row>
    <row r="364" spans="1:31" x14ac:dyDescent="0.25">
      <c r="A364" s="7" t="s">
        <v>830</v>
      </c>
      <c r="B364" s="8" t="s">
        <v>1136</v>
      </c>
      <c r="C364" s="8"/>
      <c r="D364" s="8" t="s">
        <v>832</v>
      </c>
      <c r="E364" s="8" t="s">
        <v>1078</v>
      </c>
      <c r="F364" s="7" t="s">
        <v>18</v>
      </c>
      <c r="G364" s="7" t="s">
        <v>128</v>
      </c>
      <c r="H364" s="8" t="str">
        <f t="shared" si="3"/>
        <v>14.1.7, Beeswax - Fair/Exhibition - Distance to Place of Sale (in KM) beeswax_fair_dist22</v>
      </c>
      <c r="I364" s="9"/>
      <c r="J364" s="9"/>
      <c r="K364" s="8" t="s">
        <v>1124</v>
      </c>
      <c r="L364" s="9"/>
      <c r="M364" s="9"/>
      <c r="N364" s="9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</row>
    <row r="365" spans="1:31" x14ac:dyDescent="0.25">
      <c r="A365" s="7" t="s">
        <v>833</v>
      </c>
      <c r="B365" s="8" t="s">
        <v>1137</v>
      </c>
      <c r="C365" s="8"/>
      <c r="D365" s="8" t="s">
        <v>1138</v>
      </c>
      <c r="E365" s="8" t="s">
        <v>655</v>
      </c>
      <c r="F365" s="7" t="s">
        <v>337</v>
      </c>
      <c r="G365" s="7" t="s">
        <v>128</v>
      </c>
      <c r="H365" s="8" t="str">
        <f t="shared" si="3"/>
        <v>14.1.8, Beeswax - Consumer - Quantity (Kg) beeswax_consumer_qty22</v>
      </c>
      <c r="I365" s="9"/>
      <c r="J365" s="9"/>
      <c r="K365" s="8" t="s">
        <v>1124</v>
      </c>
      <c r="L365" s="9"/>
      <c r="M365" s="9"/>
      <c r="N365" s="9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</row>
    <row r="366" spans="1:31" x14ac:dyDescent="0.25">
      <c r="A366" s="7" t="s">
        <v>836</v>
      </c>
      <c r="B366" s="8" t="s">
        <v>1139</v>
      </c>
      <c r="C366" s="8"/>
      <c r="D366" s="8" t="s">
        <v>838</v>
      </c>
      <c r="E366" s="8" t="s">
        <v>659</v>
      </c>
      <c r="F366" s="7" t="s">
        <v>337</v>
      </c>
      <c r="G366" s="7" t="s">
        <v>128</v>
      </c>
      <c r="H366" s="8" t="str">
        <f t="shared" si="3"/>
        <v>14.1.9, Beeswax - Consumer - Price (Rs/Kg) beeswax_consumer_price22</v>
      </c>
      <c r="I366" s="9"/>
      <c r="J366" s="9"/>
      <c r="K366" s="8" t="s">
        <v>1124</v>
      </c>
      <c r="L366" s="9"/>
      <c r="M366" s="9"/>
      <c r="N366" s="9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</row>
    <row r="367" spans="1:31" x14ac:dyDescent="0.25">
      <c r="A367" s="7" t="s">
        <v>839</v>
      </c>
      <c r="B367" s="8" t="s">
        <v>1140</v>
      </c>
      <c r="C367" s="8"/>
      <c r="D367" s="8" t="s">
        <v>841</v>
      </c>
      <c r="E367" s="8" t="s">
        <v>1078</v>
      </c>
      <c r="F367" s="7" t="s">
        <v>18</v>
      </c>
      <c r="G367" s="7" t="s">
        <v>128</v>
      </c>
      <c r="H367" s="8" t="str">
        <f t="shared" si="3"/>
        <v>14.1.10. Beeswax - Consumer - Distance to Place of Sale (in KM) beeswax_consumer_dist22</v>
      </c>
      <c r="I367" s="9"/>
      <c r="J367" s="9"/>
      <c r="K367" s="8" t="s">
        <v>1124</v>
      </c>
      <c r="L367" s="9"/>
      <c r="M367" s="9"/>
      <c r="N367" s="9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</row>
    <row r="368" spans="1:31" x14ac:dyDescent="0.25">
      <c r="A368" s="7" t="s">
        <v>842</v>
      </c>
      <c r="B368" s="8" t="s">
        <v>1141</v>
      </c>
      <c r="C368" s="8"/>
      <c r="D368" s="8" t="s">
        <v>1142</v>
      </c>
      <c r="E368" s="8" t="s">
        <v>666</v>
      </c>
      <c r="F368" s="7" t="s">
        <v>337</v>
      </c>
      <c r="G368" s="7" t="s">
        <v>128</v>
      </c>
      <c r="H368" s="8" t="str">
        <f t="shared" si="3"/>
        <v>14.1.11. Beeswax - Private Retailer - Quantity (Kg) beeswax_private_qty22</v>
      </c>
      <c r="I368" s="9"/>
      <c r="J368" s="9"/>
      <c r="K368" s="8" t="s">
        <v>1124</v>
      </c>
      <c r="L368" s="9"/>
      <c r="M368" s="9"/>
      <c r="N368" s="9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</row>
    <row r="369" spans="1:31" x14ac:dyDescent="0.25">
      <c r="A369" s="7" t="s">
        <v>845</v>
      </c>
      <c r="B369" s="8" t="s">
        <v>1143</v>
      </c>
      <c r="C369" s="8"/>
      <c r="D369" s="8" t="s">
        <v>847</v>
      </c>
      <c r="E369" s="8" t="s">
        <v>670</v>
      </c>
      <c r="F369" s="7" t="s">
        <v>337</v>
      </c>
      <c r="G369" s="7" t="s">
        <v>128</v>
      </c>
      <c r="H369" s="8" t="str">
        <f t="shared" si="3"/>
        <v>14.1.12. Beeswax - Private Retailer - Price (Rs/Kg) beeswax_private_price22</v>
      </c>
      <c r="I369" s="9"/>
      <c r="J369" s="9"/>
      <c r="K369" s="8" t="s">
        <v>1124</v>
      </c>
      <c r="L369" s="9"/>
      <c r="M369" s="9"/>
      <c r="N369" s="9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</row>
    <row r="370" spans="1:31" x14ac:dyDescent="0.25">
      <c r="A370" s="7" t="s">
        <v>848</v>
      </c>
      <c r="B370" s="8" t="s">
        <v>1144</v>
      </c>
      <c r="C370" s="8"/>
      <c r="D370" s="8" t="s">
        <v>850</v>
      </c>
      <c r="E370" s="8" t="s">
        <v>1078</v>
      </c>
      <c r="F370" s="7" t="s">
        <v>18</v>
      </c>
      <c r="G370" s="7" t="s">
        <v>128</v>
      </c>
      <c r="H370" s="8" t="str">
        <f t="shared" si="3"/>
        <v>14.1.13. Beeswax - Private Retailer - Distance to Place of Sale (in KM) beeswax_private_dist22</v>
      </c>
      <c r="I370" s="9"/>
      <c r="J370" s="9"/>
      <c r="K370" s="8" t="s">
        <v>1124</v>
      </c>
      <c r="L370" s="9"/>
      <c r="M370" s="9"/>
      <c r="N370" s="9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</row>
    <row r="371" spans="1:31" x14ac:dyDescent="0.25">
      <c r="A371" s="7" t="s">
        <v>851</v>
      </c>
      <c r="B371" s="8" t="s">
        <v>1145</v>
      </c>
      <c r="C371" s="8"/>
      <c r="D371" s="8" t="s">
        <v>1146</v>
      </c>
      <c r="E371" s="8" t="s">
        <v>677</v>
      </c>
      <c r="F371" s="7" t="s">
        <v>337</v>
      </c>
      <c r="G371" s="7" t="s">
        <v>128</v>
      </c>
      <c r="H371" s="8" t="str">
        <f t="shared" si="3"/>
        <v>14.1.14. Beeswax - Honey Processing - Unit Quantity (Kg) beeswax_honey_qty22</v>
      </c>
      <c r="I371" s="9"/>
      <c r="J371" s="9"/>
      <c r="K371" s="8" t="s">
        <v>1124</v>
      </c>
      <c r="L371" s="9"/>
      <c r="M371" s="9"/>
      <c r="N371" s="9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</row>
    <row r="372" spans="1:31" x14ac:dyDescent="0.25">
      <c r="A372" s="7" t="s">
        <v>854</v>
      </c>
      <c r="B372" s="8" t="s">
        <v>1147</v>
      </c>
      <c r="C372" s="8"/>
      <c r="D372" s="8" t="s">
        <v>856</v>
      </c>
      <c r="E372" s="8" t="s">
        <v>681</v>
      </c>
      <c r="F372" s="7" t="s">
        <v>337</v>
      </c>
      <c r="G372" s="7" t="s">
        <v>128</v>
      </c>
      <c r="H372" s="8" t="str">
        <f t="shared" si="3"/>
        <v>14.1.15. Beeswax - Honey Processing - Unit Price (Rs/Kg) beeswax_honey_price22</v>
      </c>
      <c r="I372" s="9"/>
      <c r="J372" s="9"/>
      <c r="K372" s="8" t="s">
        <v>1124</v>
      </c>
      <c r="L372" s="9"/>
      <c r="M372" s="9"/>
      <c r="N372" s="9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</row>
    <row r="373" spans="1:31" x14ac:dyDescent="0.25">
      <c r="A373" s="7" t="s">
        <v>857</v>
      </c>
      <c r="B373" s="8" t="s">
        <v>1148</v>
      </c>
      <c r="C373" s="8"/>
      <c r="D373" s="8" t="s">
        <v>859</v>
      </c>
      <c r="E373" s="8" t="s">
        <v>1078</v>
      </c>
      <c r="F373" s="7" t="s">
        <v>18</v>
      </c>
      <c r="G373" s="7" t="s">
        <v>128</v>
      </c>
      <c r="H373" s="8" t="str">
        <f t="shared" si="3"/>
        <v>14.1.16. Beeswax - Honey Processing - Distance to Place of Sale (in KM) beeswax_honey_dist22</v>
      </c>
      <c r="I373" s="9"/>
      <c r="J373" s="9"/>
      <c r="K373" s="8" t="s">
        <v>1124</v>
      </c>
      <c r="L373" s="9"/>
      <c r="M373" s="9"/>
      <c r="N373" s="9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</row>
    <row r="374" spans="1:31" x14ac:dyDescent="0.25">
      <c r="A374" s="7" t="s">
        <v>860</v>
      </c>
      <c r="B374" s="8" t="s">
        <v>1149</v>
      </c>
      <c r="C374" s="8"/>
      <c r="D374" s="8" t="s">
        <v>862</v>
      </c>
      <c r="E374" s="8" t="s">
        <v>688</v>
      </c>
      <c r="F374" s="7" t="s">
        <v>26</v>
      </c>
      <c r="G374" s="9"/>
      <c r="H374" s="8" t="str">
        <f t="shared" si="3"/>
        <v>14.1.17. Beeswax - Honey Processing Unit Name beeswax_honey_unitname22</v>
      </c>
      <c r="I374" s="9"/>
      <c r="J374" s="9"/>
      <c r="K374" s="8" t="s">
        <v>1124</v>
      </c>
      <c r="L374" s="8" t="s">
        <v>863</v>
      </c>
      <c r="M374" s="8" t="s">
        <v>690</v>
      </c>
      <c r="N374" s="9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</row>
    <row r="375" spans="1:31" x14ac:dyDescent="0.25">
      <c r="A375" s="7" t="s">
        <v>864</v>
      </c>
      <c r="B375" s="8" t="s">
        <v>1150</v>
      </c>
      <c r="C375" s="8"/>
      <c r="D375" s="8" t="s">
        <v>866</v>
      </c>
      <c r="E375" s="8" t="s">
        <v>694</v>
      </c>
      <c r="F375" s="7" t="s">
        <v>18</v>
      </c>
      <c r="G375" s="9"/>
      <c r="H375" s="8" t="str">
        <f t="shared" si="3"/>
        <v>14.1.18. Beeswax - Honey Processing Unit Name - Other beeswax_honey_unitname22_other</v>
      </c>
      <c r="I375" s="9"/>
      <c r="J375" s="9"/>
      <c r="K375" s="8" t="s">
        <v>1151</v>
      </c>
      <c r="L375" s="9"/>
      <c r="M375" s="8" t="s">
        <v>690</v>
      </c>
      <c r="N375" s="9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</row>
    <row r="376" spans="1:31" x14ac:dyDescent="0.25">
      <c r="A376" s="12" t="s">
        <v>868</v>
      </c>
      <c r="B376" s="3"/>
      <c r="C376" s="2"/>
      <c r="D376" s="2" t="s">
        <v>356</v>
      </c>
      <c r="E376" s="2" t="s">
        <v>869</v>
      </c>
      <c r="F376" s="1" t="s">
        <v>84</v>
      </c>
      <c r="G376" s="3"/>
      <c r="H376" s="2" t="str">
        <f t="shared" si="3"/>
        <v xml:space="preserve">14.2. Pollen </v>
      </c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x14ac:dyDescent="0.25">
      <c r="A377" s="7" t="s">
        <v>868</v>
      </c>
      <c r="B377" s="8" t="s">
        <v>1152</v>
      </c>
      <c r="C377" s="8"/>
      <c r="D377" s="8" t="s">
        <v>356</v>
      </c>
      <c r="E377" s="8" t="s">
        <v>869</v>
      </c>
      <c r="F377" s="7" t="s">
        <v>26</v>
      </c>
      <c r="G377" s="9"/>
      <c r="H377" s="8" t="str">
        <f t="shared" si="3"/>
        <v>14.2. Pollen pollen_coproduct22</v>
      </c>
      <c r="I377" s="9"/>
      <c r="J377" s="9"/>
      <c r="K377" s="9"/>
      <c r="L377" s="8" t="s">
        <v>124</v>
      </c>
      <c r="M377" s="9"/>
      <c r="N377" s="9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</row>
    <row r="378" spans="1:31" x14ac:dyDescent="0.25">
      <c r="A378" s="7" t="s">
        <v>871</v>
      </c>
      <c r="B378" s="8" t="s">
        <v>1153</v>
      </c>
      <c r="C378" s="8"/>
      <c r="D378" s="8" t="s">
        <v>873</v>
      </c>
      <c r="E378" s="8" t="s">
        <v>874</v>
      </c>
      <c r="F378" s="7" t="s">
        <v>18</v>
      </c>
      <c r="G378" s="7" t="s">
        <v>128</v>
      </c>
      <c r="H378" s="8" t="str">
        <f t="shared" si="3"/>
        <v>14.2.1. Pollen - Total Cost of Beekeeping Co-Product (Rs.) pollen_coproduct_totalcost22</v>
      </c>
      <c r="I378" s="9"/>
      <c r="J378" s="9"/>
      <c r="K378" s="8" t="s">
        <v>1154</v>
      </c>
      <c r="L378" s="9"/>
      <c r="M378" s="9"/>
      <c r="N378" s="9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</row>
    <row r="379" spans="1:31" x14ac:dyDescent="0.25">
      <c r="A379" s="7" t="s">
        <v>876</v>
      </c>
      <c r="B379" s="8" t="s">
        <v>1155</v>
      </c>
      <c r="C379" s="8"/>
      <c r="D379" s="8" t="s">
        <v>878</v>
      </c>
      <c r="E379" s="8" t="s">
        <v>879</v>
      </c>
      <c r="F379" s="7" t="s">
        <v>18</v>
      </c>
      <c r="G379" s="7" t="s">
        <v>128</v>
      </c>
      <c r="H379" s="8" t="str">
        <f t="shared" si="3"/>
        <v>(A) 14.2.1, Pollen - Total By Product Outcomes pollen_byproduct_outcomes22</v>
      </c>
      <c r="I379" s="9"/>
      <c r="J379" s="9"/>
      <c r="K379" s="8" t="s">
        <v>1154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</row>
    <row r="380" spans="1:31" x14ac:dyDescent="0.25">
      <c r="A380" s="7" t="s">
        <v>880</v>
      </c>
      <c r="B380" s="8" t="s">
        <v>1156</v>
      </c>
      <c r="C380" s="8"/>
      <c r="D380" s="8" t="s">
        <v>882</v>
      </c>
      <c r="E380" s="8" t="s">
        <v>632</v>
      </c>
      <c r="F380" s="7" t="s">
        <v>18</v>
      </c>
      <c r="G380" s="7" t="s">
        <v>128</v>
      </c>
      <c r="H380" s="8" t="str">
        <f t="shared" si="3"/>
        <v>14.2.2. Pollen - Local Shop - Quantity (Kg) pollen_local_qty22</v>
      </c>
      <c r="I380" s="9"/>
      <c r="J380" s="9"/>
      <c r="K380" s="8" t="s">
        <v>1154</v>
      </c>
      <c r="L380" s="9"/>
      <c r="M380" s="9"/>
      <c r="N380" s="9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</row>
    <row r="381" spans="1:31" x14ac:dyDescent="0.25">
      <c r="A381" s="7" t="s">
        <v>883</v>
      </c>
      <c r="B381" s="8" t="s">
        <v>1157</v>
      </c>
      <c r="C381" s="8"/>
      <c r="D381" s="8" t="s">
        <v>885</v>
      </c>
      <c r="E381" s="8" t="s">
        <v>636</v>
      </c>
      <c r="F381" s="7" t="s">
        <v>18</v>
      </c>
      <c r="G381" s="7" t="s">
        <v>128</v>
      </c>
      <c r="H381" s="8" t="str">
        <f t="shared" si="3"/>
        <v>14.2.3. Pollen - Local Shop - Price (Rs/Kg) pollen_local_price22</v>
      </c>
      <c r="I381" s="9"/>
      <c r="J381" s="9"/>
      <c r="K381" s="8" t="s">
        <v>1154</v>
      </c>
      <c r="L381" s="9"/>
      <c r="M381" s="9"/>
      <c r="N381" s="9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</row>
    <row r="382" spans="1:31" x14ac:dyDescent="0.25">
      <c r="A382" s="7" t="s">
        <v>886</v>
      </c>
      <c r="B382" s="8" t="s">
        <v>1158</v>
      </c>
      <c r="C382" s="8"/>
      <c r="D382" s="8" t="s">
        <v>888</v>
      </c>
      <c r="E382" s="8" t="s">
        <v>1078</v>
      </c>
      <c r="F382" s="7" t="s">
        <v>18</v>
      </c>
      <c r="G382" s="7" t="s">
        <v>128</v>
      </c>
      <c r="H382" s="8" t="str">
        <f t="shared" si="3"/>
        <v>14.2.4. Pollen - Local Shop - Distance to Place of Sale (in KM) pollen_local_dist22</v>
      </c>
      <c r="I382" s="9"/>
      <c r="J382" s="9"/>
      <c r="K382" s="8" t="s">
        <v>1154</v>
      </c>
      <c r="L382" s="9"/>
      <c r="M382" s="9"/>
      <c r="N382" s="9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</row>
    <row r="383" spans="1:31" x14ac:dyDescent="0.25">
      <c r="A383" s="7" t="s">
        <v>889</v>
      </c>
      <c r="B383" s="8" t="s">
        <v>1159</v>
      </c>
      <c r="C383" s="8"/>
      <c r="D383" s="8" t="s">
        <v>891</v>
      </c>
      <c r="E383" s="8" t="s">
        <v>644</v>
      </c>
      <c r="F383" s="7" t="s">
        <v>18</v>
      </c>
      <c r="G383" s="7" t="s">
        <v>128</v>
      </c>
      <c r="H383" s="8" t="str">
        <f t="shared" si="3"/>
        <v>14.2.5. Pollen - Fair/Exhibition - Quantity (Kg) pollen_fair_qty22</v>
      </c>
      <c r="I383" s="9"/>
      <c r="J383" s="9"/>
      <c r="K383" s="8" t="s">
        <v>1154</v>
      </c>
      <c r="L383" s="9"/>
      <c r="M383" s="9"/>
      <c r="N383" s="9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</row>
    <row r="384" spans="1:31" x14ac:dyDescent="0.25">
      <c r="A384" s="7" t="s">
        <v>892</v>
      </c>
      <c r="B384" s="8" t="s">
        <v>1160</v>
      </c>
      <c r="C384" s="8"/>
      <c r="D384" s="8" t="s">
        <v>894</v>
      </c>
      <c r="E384" s="8" t="s">
        <v>648</v>
      </c>
      <c r="F384" s="7" t="s">
        <v>18</v>
      </c>
      <c r="G384" s="7" t="s">
        <v>128</v>
      </c>
      <c r="H384" s="8" t="str">
        <f t="shared" si="3"/>
        <v>14.2.6. Pollen - Fair/Exhibition - Price (Rs/Kg) pollen_fair_price22</v>
      </c>
      <c r="I384" s="9"/>
      <c r="J384" s="9"/>
      <c r="K384" s="8" t="s">
        <v>1154</v>
      </c>
      <c r="L384" s="9"/>
      <c r="M384" s="9"/>
      <c r="N384" s="9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</row>
    <row r="385" spans="1:31" x14ac:dyDescent="0.25">
      <c r="A385" s="7" t="s">
        <v>895</v>
      </c>
      <c r="B385" s="8" t="s">
        <v>1161</v>
      </c>
      <c r="C385" s="8"/>
      <c r="D385" s="8" t="s">
        <v>897</v>
      </c>
      <c r="E385" s="8" t="s">
        <v>1078</v>
      </c>
      <c r="F385" s="7" t="s">
        <v>18</v>
      </c>
      <c r="G385" s="7" t="s">
        <v>128</v>
      </c>
      <c r="H385" s="8" t="str">
        <f t="shared" si="3"/>
        <v>14.2.7. Pollen - Fair/Exhibition - Distance to Place of Sale (in KM) pollen_fair_dist22</v>
      </c>
      <c r="I385" s="9"/>
      <c r="J385" s="9"/>
      <c r="K385" s="8" t="s">
        <v>1154</v>
      </c>
      <c r="L385" s="9"/>
      <c r="M385" s="9"/>
      <c r="N385" s="9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</row>
    <row r="386" spans="1:31" x14ac:dyDescent="0.25">
      <c r="A386" s="7" t="s">
        <v>898</v>
      </c>
      <c r="B386" s="8" t="s">
        <v>1162</v>
      </c>
      <c r="C386" s="8"/>
      <c r="D386" s="8" t="s">
        <v>900</v>
      </c>
      <c r="E386" s="8" t="s">
        <v>655</v>
      </c>
      <c r="F386" s="7" t="s">
        <v>337</v>
      </c>
      <c r="G386" s="7" t="s">
        <v>128</v>
      </c>
      <c r="H386" s="8" t="str">
        <f t="shared" si="3"/>
        <v>14.2.8. Pollen - Consumer - Quantity (Kg) pollen_consumer_qty22</v>
      </c>
      <c r="I386" s="9"/>
      <c r="J386" s="9"/>
      <c r="K386" s="8" t="s">
        <v>1154</v>
      </c>
      <c r="L386" s="9"/>
      <c r="M386" s="9"/>
      <c r="N386" s="9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</row>
    <row r="387" spans="1:31" x14ac:dyDescent="0.25">
      <c r="A387" s="7" t="s">
        <v>901</v>
      </c>
      <c r="B387" s="8" t="s">
        <v>1163</v>
      </c>
      <c r="C387" s="8"/>
      <c r="D387" s="8" t="s">
        <v>903</v>
      </c>
      <c r="E387" s="8" t="s">
        <v>659</v>
      </c>
      <c r="F387" s="7" t="s">
        <v>337</v>
      </c>
      <c r="G387" s="7" t="s">
        <v>128</v>
      </c>
      <c r="H387" s="8" t="str">
        <f t="shared" si="3"/>
        <v>14.2.9. Pollen - Consumer - Price (Rs/Kg) pollen_consumer_price22</v>
      </c>
      <c r="I387" s="9"/>
      <c r="J387" s="9"/>
      <c r="K387" s="8" t="s">
        <v>1154</v>
      </c>
      <c r="L387" s="9"/>
      <c r="M387" s="9"/>
      <c r="N387" s="9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</row>
    <row r="388" spans="1:31" x14ac:dyDescent="0.25">
      <c r="A388" s="7" t="s">
        <v>904</v>
      </c>
      <c r="B388" s="8" t="s">
        <v>1164</v>
      </c>
      <c r="C388" s="8"/>
      <c r="D388" s="8" t="s">
        <v>906</v>
      </c>
      <c r="E388" s="8" t="s">
        <v>1078</v>
      </c>
      <c r="F388" s="7" t="s">
        <v>18</v>
      </c>
      <c r="G388" s="7" t="s">
        <v>128</v>
      </c>
      <c r="H388" s="8" t="str">
        <f t="shared" si="3"/>
        <v>14.2.10. Pollen - Consumer - Distance to Place of Sale (in KM) pollen_consumer_dist22</v>
      </c>
      <c r="I388" s="9"/>
      <c r="J388" s="9"/>
      <c r="K388" s="8" t="s">
        <v>1154</v>
      </c>
      <c r="L388" s="9"/>
      <c r="M388" s="9"/>
      <c r="N388" s="9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</row>
    <row r="389" spans="1:31" x14ac:dyDescent="0.25">
      <c r="A389" s="7" t="s">
        <v>907</v>
      </c>
      <c r="B389" s="8" t="s">
        <v>1165</v>
      </c>
      <c r="C389" s="8"/>
      <c r="D389" s="8" t="s">
        <v>909</v>
      </c>
      <c r="E389" s="8" t="s">
        <v>666</v>
      </c>
      <c r="F389" s="7" t="s">
        <v>337</v>
      </c>
      <c r="G389" s="7" t="s">
        <v>128</v>
      </c>
      <c r="H389" s="8" t="str">
        <f t="shared" si="3"/>
        <v>14.2.11. Pollen - Private Retailer - Quantity (Kg) pollen_private_qty22</v>
      </c>
      <c r="I389" s="9"/>
      <c r="J389" s="9"/>
      <c r="K389" s="8" t="s">
        <v>1154</v>
      </c>
      <c r="L389" s="9"/>
      <c r="M389" s="9"/>
      <c r="N389" s="9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</row>
    <row r="390" spans="1:31" x14ac:dyDescent="0.25">
      <c r="A390" s="7" t="s">
        <v>910</v>
      </c>
      <c r="B390" s="8" t="s">
        <v>1166</v>
      </c>
      <c r="C390" s="8"/>
      <c r="D390" s="8" t="s">
        <v>912</v>
      </c>
      <c r="E390" s="8" t="s">
        <v>670</v>
      </c>
      <c r="F390" s="7" t="s">
        <v>337</v>
      </c>
      <c r="G390" s="7" t="s">
        <v>128</v>
      </c>
      <c r="H390" s="8" t="str">
        <f t="shared" si="3"/>
        <v>14.2.12. Pollen - Private Retailer - Price (Rs/Kg) pollen_private_price22</v>
      </c>
      <c r="I390" s="9"/>
      <c r="J390" s="9"/>
      <c r="K390" s="8" t="s">
        <v>1154</v>
      </c>
      <c r="L390" s="9"/>
      <c r="M390" s="9"/>
      <c r="N390" s="9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</row>
    <row r="391" spans="1:31" x14ac:dyDescent="0.25">
      <c r="A391" s="7" t="s">
        <v>913</v>
      </c>
      <c r="B391" s="8" t="s">
        <v>1167</v>
      </c>
      <c r="C391" s="8"/>
      <c r="D391" s="8" t="s">
        <v>915</v>
      </c>
      <c r="E391" s="8" t="s">
        <v>1078</v>
      </c>
      <c r="F391" s="7" t="s">
        <v>18</v>
      </c>
      <c r="G391" s="7" t="s">
        <v>128</v>
      </c>
      <c r="H391" s="8" t="str">
        <f t="shared" si="3"/>
        <v>14.2.13. Pollen - Private Retailer - Distance to Place of Sale (in KM) pollen_private_dist22</v>
      </c>
      <c r="I391" s="9"/>
      <c r="J391" s="9"/>
      <c r="K391" s="8" t="s">
        <v>1154</v>
      </c>
      <c r="L391" s="9"/>
      <c r="M391" s="9"/>
      <c r="N391" s="9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</row>
    <row r="392" spans="1:31" x14ac:dyDescent="0.25">
      <c r="A392" s="7" t="s">
        <v>916</v>
      </c>
      <c r="B392" s="8" t="s">
        <v>1168</v>
      </c>
      <c r="C392" s="8"/>
      <c r="D392" s="8" t="s">
        <v>918</v>
      </c>
      <c r="E392" s="8" t="s">
        <v>677</v>
      </c>
      <c r="F392" s="7" t="s">
        <v>337</v>
      </c>
      <c r="G392" s="7" t="s">
        <v>128</v>
      </c>
      <c r="H392" s="8" t="str">
        <f t="shared" si="3"/>
        <v>14.2.14. Pollen - Honey Processing - Unit Quantity (Kg) pollen_honey_qty22</v>
      </c>
      <c r="I392" s="9"/>
      <c r="J392" s="9"/>
      <c r="K392" s="8" t="s">
        <v>1154</v>
      </c>
      <c r="L392" s="9"/>
      <c r="M392" s="9"/>
      <c r="N392" s="9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</row>
    <row r="393" spans="1:31" x14ac:dyDescent="0.25">
      <c r="A393" s="7" t="s">
        <v>919</v>
      </c>
      <c r="B393" s="8" t="s">
        <v>1169</v>
      </c>
      <c r="C393" s="8"/>
      <c r="D393" s="8" t="s">
        <v>921</v>
      </c>
      <c r="E393" s="8" t="s">
        <v>681</v>
      </c>
      <c r="F393" s="7" t="s">
        <v>337</v>
      </c>
      <c r="G393" s="7" t="s">
        <v>128</v>
      </c>
      <c r="H393" s="8" t="str">
        <f t="shared" si="3"/>
        <v>14.2.15. Pollen - Honey Processing - Unit Price (Rs/Kg) pollen_honey_price22</v>
      </c>
      <c r="I393" s="9"/>
      <c r="J393" s="9"/>
      <c r="K393" s="8" t="s">
        <v>1154</v>
      </c>
      <c r="L393" s="9"/>
      <c r="M393" s="9"/>
      <c r="N393" s="9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</row>
    <row r="394" spans="1:31" x14ac:dyDescent="0.25">
      <c r="A394" s="7" t="s">
        <v>922</v>
      </c>
      <c r="B394" s="8" t="s">
        <v>1170</v>
      </c>
      <c r="C394" s="8"/>
      <c r="D394" s="8" t="s">
        <v>924</v>
      </c>
      <c r="E394" s="8" t="s">
        <v>1078</v>
      </c>
      <c r="F394" s="7" t="s">
        <v>18</v>
      </c>
      <c r="G394" s="7" t="s">
        <v>128</v>
      </c>
      <c r="H394" s="8" t="str">
        <f t="shared" si="3"/>
        <v>14.2.16. Pollen - Honey Processing - Distance to Place of Sale (in KM) pollen_honey_dist22</v>
      </c>
      <c r="I394" s="9"/>
      <c r="J394" s="9"/>
      <c r="K394" s="8" t="s">
        <v>1154</v>
      </c>
      <c r="L394" s="9"/>
      <c r="M394" s="9"/>
      <c r="N394" s="9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</row>
    <row r="395" spans="1:31" x14ac:dyDescent="0.25">
      <c r="A395" s="7" t="s">
        <v>925</v>
      </c>
      <c r="B395" s="8" t="s">
        <v>1171</v>
      </c>
      <c r="C395" s="8"/>
      <c r="D395" s="8" t="s">
        <v>927</v>
      </c>
      <c r="E395" s="8" t="s">
        <v>688</v>
      </c>
      <c r="F395" s="7" t="s">
        <v>26</v>
      </c>
      <c r="G395" s="9"/>
      <c r="H395" s="8" t="str">
        <f t="shared" si="3"/>
        <v>14.2.17. Pollen - Honey Processing Unit Name pollen_honey_unitname22</v>
      </c>
      <c r="I395" s="9"/>
      <c r="J395" s="9"/>
      <c r="K395" s="8" t="s">
        <v>1154</v>
      </c>
      <c r="L395" s="8" t="s">
        <v>863</v>
      </c>
      <c r="M395" s="9"/>
      <c r="N395" s="9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</row>
    <row r="396" spans="1:31" x14ac:dyDescent="0.25">
      <c r="A396" s="7" t="s">
        <v>928</v>
      </c>
      <c r="B396" s="8" t="s">
        <v>1172</v>
      </c>
      <c r="C396" s="8"/>
      <c r="D396" s="8" t="s">
        <v>930</v>
      </c>
      <c r="E396" s="8" t="s">
        <v>694</v>
      </c>
      <c r="F396" s="7" t="s">
        <v>18</v>
      </c>
      <c r="G396" s="9"/>
      <c r="H396" s="8" t="str">
        <f t="shared" si="3"/>
        <v>14.2.18. Pollen - Honey Processing Unit Name - Other pollen_honey_unitname22_other</v>
      </c>
      <c r="I396" s="9"/>
      <c r="J396" s="9"/>
      <c r="K396" s="8" t="s">
        <v>1173</v>
      </c>
      <c r="L396" s="9"/>
      <c r="M396" s="9"/>
      <c r="N396" s="9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</row>
    <row r="397" spans="1:31" x14ac:dyDescent="0.25">
      <c r="A397" s="12" t="s">
        <v>932</v>
      </c>
      <c r="B397" s="3"/>
      <c r="C397" s="27"/>
      <c r="D397" s="28" t="s">
        <v>367</v>
      </c>
      <c r="E397" s="27" t="s">
        <v>368</v>
      </c>
      <c r="F397" s="3"/>
      <c r="G397" s="3"/>
      <c r="H397" s="2" t="str">
        <f t="shared" si="3"/>
        <v xml:space="preserve">14.3. Royal Jelly </v>
      </c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x14ac:dyDescent="0.25">
      <c r="A398" s="7" t="s">
        <v>932</v>
      </c>
      <c r="B398" s="8" t="s">
        <v>1174</v>
      </c>
      <c r="C398" s="8"/>
      <c r="D398" s="8" t="s">
        <v>367</v>
      </c>
      <c r="E398" s="8" t="s">
        <v>368</v>
      </c>
      <c r="F398" s="7" t="s">
        <v>26</v>
      </c>
      <c r="G398" s="9"/>
      <c r="H398" s="8" t="str">
        <f t="shared" si="3"/>
        <v>14.3. Royal Jelly royal_coproduct22</v>
      </c>
      <c r="I398" s="9"/>
      <c r="J398" s="9"/>
      <c r="K398" s="9"/>
      <c r="L398" s="8" t="s">
        <v>124</v>
      </c>
      <c r="M398" s="9"/>
      <c r="N398" s="9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</row>
    <row r="399" spans="1:31" x14ac:dyDescent="0.25">
      <c r="A399" s="7" t="s">
        <v>934</v>
      </c>
      <c r="B399" s="8" t="s">
        <v>1175</v>
      </c>
      <c r="C399" s="8"/>
      <c r="D399" s="8" t="s">
        <v>936</v>
      </c>
      <c r="E399" s="8" t="s">
        <v>937</v>
      </c>
      <c r="F399" s="7" t="s">
        <v>18</v>
      </c>
      <c r="G399" s="7" t="s">
        <v>128</v>
      </c>
      <c r="H399" s="8" t="str">
        <f t="shared" si="3"/>
        <v>14.3.1. Royal Jelly - Total Cost of Beekeeping Co-Product (Rs.) royal_coproduct_totalcost22</v>
      </c>
      <c r="I399" s="9"/>
      <c r="J399" s="9"/>
      <c r="K399" s="8" t="s">
        <v>1176</v>
      </c>
      <c r="L399" s="9"/>
      <c r="M399" s="9"/>
      <c r="N399" s="9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</row>
    <row r="400" spans="1:31" x14ac:dyDescent="0.25">
      <c r="A400" s="7" t="s">
        <v>939</v>
      </c>
      <c r="B400" s="8" t="s">
        <v>1177</v>
      </c>
      <c r="C400" s="8"/>
      <c r="D400" s="8" t="s">
        <v>941</v>
      </c>
      <c r="E400" s="8" t="s">
        <v>942</v>
      </c>
      <c r="F400" s="7" t="s">
        <v>18</v>
      </c>
      <c r="G400" s="7" t="s">
        <v>128</v>
      </c>
      <c r="H400" s="8" t="str">
        <f t="shared" si="3"/>
        <v>(A) 14.3.1, Royal Jelly - Total By Product Outcomes royal_byproduct_outcomes22</v>
      </c>
      <c r="I400" s="9"/>
      <c r="J400" s="9"/>
      <c r="K400" s="8" t="s">
        <v>1176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</row>
    <row r="401" spans="1:31" x14ac:dyDescent="0.25">
      <c r="A401" s="7" t="s">
        <v>943</v>
      </c>
      <c r="B401" s="8" t="s">
        <v>1178</v>
      </c>
      <c r="C401" s="8"/>
      <c r="D401" s="8" t="s">
        <v>945</v>
      </c>
      <c r="E401" s="8" t="s">
        <v>632</v>
      </c>
      <c r="F401" s="7" t="s">
        <v>18</v>
      </c>
      <c r="G401" s="7" t="s">
        <v>128</v>
      </c>
      <c r="H401" s="8" t="str">
        <f t="shared" si="3"/>
        <v>14.3.2. Royal Jelly - Local Shop - Quantity (Kg) royal_local_qty22</v>
      </c>
      <c r="I401" s="9"/>
      <c r="J401" s="9"/>
      <c r="K401" s="8" t="s">
        <v>1176</v>
      </c>
      <c r="L401" s="9"/>
      <c r="M401" s="9"/>
      <c r="N401" s="9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</row>
    <row r="402" spans="1:31" x14ac:dyDescent="0.25">
      <c r="A402" s="7" t="s">
        <v>946</v>
      </c>
      <c r="B402" s="8" t="s">
        <v>1179</v>
      </c>
      <c r="C402" s="8"/>
      <c r="D402" s="8" t="s">
        <v>948</v>
      </c>
      <c r="E402" s="8" t="s">
        <v>636</v>
      </c>
      <c r="F402" s="7" t="s">
        <v>18</v>
      </c>
      <c r="G402" s="7" t="s">
        <v>128</v>
      </c>
      <c r="H402" s="8" t="str">
        <f t="shared" si="3"/>
        <v>14.3.3. Royal Jelly - Local Shop - Price (Rs/Kg) royal_local_price22</v>
      </c>
      <c r="I402" s="9"/>
      <c r="J402" s="9"/>
      <c r="K402" s="8" t="s">
        <v>1176</v>
      </c>
      <c r="L402" s="9"/>
      <c r="M402" s="9"/>
      <c r="N402" s="9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</row>
    <row r="403" spans="1:31" x14ac:dyDescent="0.25">
      <c r="A403" s="7" t="s">
        <v>949</v>
      </c>
      <c r="B403" s="8" t="s">
        <v>1180</v>
      </c>
      <c r="C403" s="8"/>
      <c r="D403" s="8" t="s">
        <v>951</v>
      </c>
      <c r="E403" s="8" t="s">
        <v>1078</v>
      </c>
      <c r="F403" s="7" t="s">
        <v>18</v>
      </c>
      <c r="G403" s="7" t="s">
        <v>128</v>
      </c>
      <c r="H403" s="8" t="str">
        <f t="shared" si="3"/>
        <v>14.3.4. Royal Jelly - Local Shop - Distance to Place of Sale (in KM) royal_local_dist22</v>
      </c>
      <c r="I403" s="9"/>
      <c r="J403" s="9"/>
      <c r="K403" s="8" t="s">
        <v>1176</v>
      </c>
      <c r="L403" s="9"/>
      <c r="M403" s="9"/>
      <c r="N403" s="9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</row>
    <row r="404" spans="1:31" x14ac:dyDescent="0.25">
      <c r="A404" s="7" t="s">
        <v>952</v>
      </c>
      <c r="B404" s="8" t="s">
        <v>1181</v>
      </c>
      <c r="C404" s="8"/>
      <c r="D404" s="8" t="s">
        <v>954</v>
      </c>
      <c r="E404" s="8" t="s">
        <v>644</v>
      </c>
      <c r="F404" s="7" t="s">
        <v>18</v>
      </c>
      <c r="G404" s="7" t="s">
        <v>128</v>
      </c>
      <c r="H404" s="8" t="str">
        <f t="shared" si="3"/>
        <v>14.3.5. Royal Jelly - Fair/Exhibition - Quantity (Kg) royal_fair_qty22</v>
      </c>
      <c r="I404" s="9"/>
      <c r="J404" s="9"/>
      <c r="K404" s="8" t="s">
        <v>1176</v>
      </c>
      <c r="L404" s="9"/>
      <c r="M404" s="9"/>
      <c r="N404" s="9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</row>
    <row r="405" spans="1:31" x14ac:dyDescent="0.25">
      <c r="A405" s="7" t="s">
        <v>955</v>
      </c>
      <c r="B405" s="8" t="s">
        <v>1182</v>
      </c>
      <c r="C405" s="8"/>
      <c r="D405" s="8" t="s">
        <v>957</v>
      </c>
      <c r="E405" s="8" t="s">
        <v>648</v>
      </c>
      <c r="F405" s="7" t="s">
        <v>18</v>
      </c>
      <c r="G405" s="7" t="s">
        <v>128</v>
      </c>
      <c r="H405" s="8" t="str">
        <f t="shared" si="3"/>
        <v>14.3.6. Royal Jelly - Fair/Exhibition - Price (Rs/Kg) royal_fair_price22</v>
      </c>
      <c r="I405" s="9"/>
      <c r="J405" s="9"/>
      <c r="K405" s="8" t="s">
        <v>1176</v>
      </c>
      <c r="L405" s="9"/>
      <c r="M405" s="9"/>
      <c r="N405" s="9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</row>
    <row r="406" spans="1:31" x14ac:dyDescent="0.25">
      <c r="A406" s="7" t="s">
        <v>958</v>
      </c>
      <c r="B406" s="8" t="s">
        <v>1183</v>
      </c>
      <c r="C406" s="8"/>
      <c r="D406" s="8" t="s">
        <v>960</v>
      </c>
      <c r="E406" s="8" t="s">
        <v>1078</v>
      </c>
      <c r="F406" s="7" t="s">
        <v>18</v>
      </c>
      <c r="G406" s="7" t="s">
        <v>128</v>
      </c>
      <c r="H406" s="8" t="str">
        <f t="shared" si="3"/>
        <v>14.3.7. Royal Jelly - Fair/Exhibition - Distance to Place of Sale (in KM) royal_fair_dist22</v>
      </c>
      <c r="I406" s="9"/>
      <c r="J406" s="9"/>
      <c r="K406" s="8" t="s">
        <v>1176</v>
      </c>
      <c r="L406" s="9"/>
      <c r="M406" s="9"/>
      <c r="N406" s="9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</row>
    <row r="407" spans="1:31" x14ac:dyDescent="0.25">
      <c r="A407" s="7" t="s">
        <v>961</v>
      </c>
      <c r="B407" s="8" t="s">
        <v>1184</v>
      </c>
      <c r="C407" s="8"/>
      <c r="D407" s="8" t="s">
        <v>963</v>
      </c>
      <c r="E407" s="8" t="s">
        <v>655</v>
      </c>
      <c r="F407" s="7" t="s">
        <v>337</v>
      </c>
      <c r="G407" s="7" t="s">
        <v>128</v>
      </c>
      <c r="H407" s="8" t="str">
        <f t="shared" si="3"/>
        <v>14.3.8. Royal Jelly - Consumer - Quantity (Kg) royal_consumer_qty22</v>
      </c>
      <c r="I407" s="9"/>
      <c r="J407" s="9"/>
      <c r="K407" s="8" t="s">
        <v>1176</v>
      </c>
      <c r="L407" s="9"/>
      <c r="M407" s="9"/>
      <c r="N407" s="9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</row>
    <row r="408" spans="1:31" x14ac:dyDescent="0.25">
      <c r="A408" s="7" t="s">
        <v>964</v>
      </c>
      <c r="B408" s="8" t="s">
        <v>1185</v>
      </c>
      <c r="C408" s="8"/>
      <c r="D408" s="8" t="s">
        <v>966</v>
      </c>
      <c r="E408" s="8" t="s">
        <v>659</v>
      </c>
      <c r="F408" s="7" t="s">
        <v>337</v>
      </c>
      <c r="G408" s="7" t="s">
        <v>128</v>
      </c>
      <c r="H408" s="8" t="str">
        <f t="shared" si="3"/>
        <v>14.3.9. Royal Jelly - Consumer - Price (Rs/Kg) royal_consumer_price22</v>
      </c>
      <c r="I408" s="9"/>
      <c r="J408" s="9"/>
      <c r="K408" s="8" t="s">
        <v>1176</v>
      </c>
      <c r="L408" s="9"/>
      <c r="M408" s="9"/>
      <c r="N408" s="9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</row>
    <row r="409" spans="1:31" x14ac:dyDescent="0.25">
      <c r="A409" s="7" t="s">
        <v>967</v>
      </c>
      <c r="B409" s="8" t="s">
        <v>1186</v>
      </c>
      <c r="C409" s="8"/>
      <c r="D409" s="8" t="s">
        <v>969</v>
      </c>
      <c r="E409" s="8" t="s">
        <v>1078</v>
      </c>
      <c r="F409" s="7" t="s">
        <v>18</v>
      </c>
      <c r="G409" s="7" t="s">
        <v>128</v>
      </c>
      <c r="H409" s="8" t="str">
        <f t="shared" si="3"/>
        <v>14.3.10. Royal Jelly - Consumer - Distance to Place of Sale (in KM) royal_consumer_dist22</v>
      </c>
      <c r="I409" s="9"/>
      <c r="J409" s="9"/>
      <c r="K409" s="8" t="s">
        <v>1176</v>
      </c>
      <c r="L409" s="9"/>
      <c r="M409" s="9"/>
      <c r="N409" s="9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</row>
    <row r="410" spans="1:31" x14ac:dyDescent="0.25">
      <c r="A410" s="7" t="s">
        <v>970</v>
      </c>
      <c r="B410" s="8" t="s">
        <v>1187</v>
      </c>
      <c r="C410" s="8"/>
      <c r="D410" s="8" t="s">
        <v>972</v>
      </c>
      <c r="E410" s="8" t="s">
        <v>666</v>
      </c>
      <c r="F410" s="7" t="s">
        <v>337</v>
      </c>
      <c r="G410" s="7" t="s">
        <v>128</v>
      </c>
      <c r="H410" s="8" t="str">
        <f t="shared" si="3"/>
        <v>14.3.11. Royal Jelly - Private Retailer - Quantity (Kg) royal_private_qty22</v>
      </c>
      <c r="I410" s="9"/>
      <c r="J410" s="9"/>
      <c r="K410" s="8" t="s">
        <v>1176</v>
      </c>
      <c r="L410" s="9"/>
      <c r="M410" s="9"/>
      <c r="N410" s="9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</row>
    <row r="411" spans="1:31" x14ac:dyDescent="0.25">
      <c r="A411" s="7" t="s">
        <v>973</v>
      </c>
      <c r="B411" s="8" t="s">
        <v>1188</v>
      </c>
      <c r="C411" s="8"/>
      <c r="D411" s="8" t="s">
        <v>975</v>
      </c>
      <c r="E411" s="8" t="s">
        <v>670</v>
      </c>
      <c r="F411" s="7" t="s">
        <v>337</v>
      </c>
      <c r="G411" s="7" t="s">
        <v>128</v>
      </c>
      <c r="H411" s="8" t="str">
        <f t="shared" si="3"/>
        <v>14.3.12. Royal Jelly - Private Retailer - Price (Rs/Kg) royal_private_price22</v>
      </c>
      <c r="I411" s="9"/>
      <c r="J411" s="9"/>
      <c r="K411" s="8" t="s">
        <v>1176</v>
      </c>
      <c r="L411" s="9"/>
      <c r="M411" s="9"/>
      <c r="N411" s="9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</row>
    <row r="412" spans="1:31" x14ac:dyDescent="0.25">
      <c r="A412" s="7" t="s">
        <v>976</v>
      </c>
      <c r="B412" s="8" t="s">
        <v>1189</v>
      </c>
      <c r="C412" s="8"/>
      <c r="D412" s="8" t="s">
        <v>978</v>
      </c>
      <c r="E412" s="8" t="s">
        <v>1078</v>
      </c>
      <c r="F412" s="7" t="s">
        <v>18</v>
      </c>
      <c r="G412" s="9"/>
      <c r="H412" s="8" t="str">
        <f t="shared" si="3"/>
        <v>14.3.13. Royal Jelly - Private Retailer - Distance to Place of Sale (in KM) royal_private_dist22</v>
      </c>
      <c r="I412" s="9"/>
      <c r="J412" s="9"/>
      <c r="K412" s="8" t="s">
        <v>1176</v>
      </c>
      <c r="L412" s="9"/>
      <c r="M412" s="9"/>
      <c r="N412" s="9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</row>
    <row r="413" spans="1:31" x14ac:dyDescent="0.25">
      <c r="A413" s="7" t="s">
        <v>979</v>
      </c>
      <c r="B413" s="8" t="s">
        <v>1190</v>
      </c>
      <c r="C413" s="8"/>
      <c r="D413" s="8" t="s">
        <v>981</v>
      </c>
      <c r="E413" s="8" t="s">
        <v>677</v>
      </c>
      <c r="F413" s="7" t="s">
        <v>337</v>
      </c>
      <c r="G413" s="7" t="s">
        <v>128</v>
      </c>
      <c r="H413" s="8" t="str">
        <f t="shared" si="3"/>
        <v>14.3.14. Royal Jelly - Honey Processing - Unit Quantity (Kg) royal_honey_qty22</v>
      </c>
      <c r="I413" s="9"/>
      <c r="J413" s="9"/>
      <c r="K413" s="8" t="s">
        <v>1176</v>
      </c>
      <c r="L413" s="9"/>
      <c r="M413" s="9"/>
      <c r="N413" s="9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</row>
    <row r="414" spans="1:31" x14ac:dyDescent="0.25">
      <c r="A414" s="7" t="s">
        <v>982</v>
      </c>
      <c r="B414" s="8" t="s">
        <v>1191</v>
      </c>
      <c r="C414" s="8"/>
      <c r="D414" s="8" t="s">
        <v>984</v>
      </c>
      <c r="E414" s="8" t="s">
        <v>681</v>
      </c>
      <c r="F414" s="7" t="s">
        <v>337</v>
      </c>
      <c r="G414" s="7" t="s">
        <v>128</v>
      </c>
      <c r="H414" s="8" t="str">
        <f t="shared" si="3"/>
        <v>14.3.15. Royal Jelly - Honey Processing - Unit Price (Rs/Kg) royal_honey_price22</v>
      </c>
      <c r="I414" s="9"/>
      <c r="J414" s="9"/>
      <c r="K414" s="8" t="s">
        <v>1176</v>
      </c>
      <c r="L414" s="9"/>
      <c r="M414" s="9"/>
      <c r="N414" s="9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</row>
    <row r="415" spans="1:31" x14ac:dyDescent="0.25">
      <c r="A415" s="7" t="s">
        <v>985</v>
      </c>
      <c r="B415" s="8" t="s">
        <v>1192</v>
      </c>
      <c r="C415" s="8"/>
      <c r="D415" s="8" t="s">
        <v>987</v>
      </c>
      <c r="E415" s="8" t="s">
        <v>1078</v>
      </c>
      <c r="F415" s="7" t="s">
        <v>18</v>
      </c>
      <c r="G415" s="9"/>
      <c r="H415" s="8" t="str">
        <f t="shared" si="3"/>
        <v>14.3.16. Royal Jelly - Honey Processing - Distance to Place of Sale (in KM) royal_honey_dist22</v>
      </c>
      <c r="I415" s="9"/>
      <c r="J415" s="9"/>
      <c r="K415" s="8" t="s">
        <v>1176</v>
      </c>
      <c r="L415" s="9"/>
      <c r="M415" s="9"/>
      <c r="N415" s="9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</row>
    <row r="416" spans="1:31" x14ac:dyDescent="0.25">
      <c r="A416" s="7" t="s">
        <v>988</v>
      </c>
      <c r="B416" s="8" t="s">
        <v>1193</v>
      </c>
      <c r="C416" s="8"/>
      <c r="D416" s="8" t="s">
        <v>990</v>
      </c>
      <c r="E416" s="8" t="s">
        <v>688</v>
      </c>
      <c r="F416" s="7" t="s">
        <v>26</v>
      </c>
      <c r="G416" s="9"/>
      <c r="H416" s="8" t="str">
        <f t="shared" si="3"/>
        <v>14.3.17. Royal Jelly - Honey Processing Unit Name royal_honey_unitname22</v>
      </c>
      <c r="I416" s="9"/>
      <c r="J416" s="9"/>
      <c r="K416" s="8" t="s">
        <v>1176</v>
      </c>
      <c r="L416" s="8" t="s">
        <v>863</v>
      </c>
      <c r="M416" s="9"/>
      <c r="N416" s="9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</row>
    <row r="417" spans="1:31" x14ac:dyDescent="0.25">
      <c r="A417" s="7" t="s">
        <v>991</v>
      </c>
      <c r="B417" s="8" t="s">
        <v>1194</v>
      </c>
      <c r="C417" s="8"/>
      <c r="D417" s="8" t="s">
        <v>993</v>
      </c>
      <c r="E417" s="8" t="s">
        <v>694</v>
      </c>
      <c r="F417" s="7" t="s">
        <v>18</v>
      </c>
      <c r="G417" s="9"/>
      <c r="H417" s="8" t="str">
        <f t="shared" si="3"/>
        <v>14.3.18. Royal Jelly - Honey Processing Unit Name - Other royal_honey_unitname22_other</v>
      </c>
      <c r="I417" s="9"/>
      <c r="J417" s="9"/>
      <c r="K417" s="8" t="s">
        <v>1195</v>
      </c>
      <c r="L417" s="9"/>
      <c r="M417" s="9"/>
      <c r="N417" s="9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</row>
    <row r="418" spans="1:31" x14ac:dyDescent="0.25">
      <c r="A418" s="12" t="s">
        <v>995</v>
      </c>
      <c r="B418" s="3"/>
      <c r="C418" s="2"/>
      <c r="D418" s="2" t="s">
        <v>378</v>
      </c>
      <c r="E418" s="2" t="s">
        <v>379</v>
      </c>
      <c r="F418" s="1" t="s">
        <v>96</v>
      </c>
      <c r="G418" s="3"/>
      <c r="H418" s="2" t="str">
        <f t="shared" si="3"/>
        <v xml:space="preserve">14.4. Propolis </v>
      </c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x14ac:dyDescent="0.25">
      <c r="A419" s="7" t="s">
        <v>995</v>
      </c>
      <c r="B419" s="8" t="s">
        <v>1196</v>
      </c>
      <c r="C419" s="8"/>
      <c r="D419" s="8" t="s">
        <v>378</v>
      </c>
      <c r="E419" s="8" t="s">
        <v>379</v>
      </c>
      <c r="F419" s="7" t="s">
        <v>123</v>
      </c>
      <c r="G419" s="9"/>
      <c r="H419" s="8" t="str">
        <f t="shared" si="3"/>
        <v>14.4. Propolis propolis_coproduct22</v>
      </c>
      <c r="I419" s="9"/>
      <c r="J419" s="9"/>
      <c r="K419" s="9"/>
      <c r="L419" s="8" t="s">
        <v>124</v>
      </c>
      <c r="M419" s="9"/>
      <c r="N419" s="9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</row>
    <row r="420" spans="1:31" x14ac:dyDescent="0.25">
      <c r="A420" s="7" t="s">
        <v>997</v>
      </c>
      <c r="B420" s="8" t="s">
        <v>1197</v>
      </c>
      <c r="C420" s="8"/>
      <c r="D420" s="8" t="s">
        <v>999</v>
      </c>
      <c r="E420" s="8" t="s">
        <v>1000</v>
      </c>
      <c r="F420" s="7" t="s">
        <v>18</v>
      </c>
      <c r="G420" s="7" t="s">
        <v>128</v>
      </c>
      <c r="H420" s="8" t="str">
        <f t="shared" si="3"/>
        <v>14.4.1. Propolis - Total Cost of Beekeeping Co-Product (Rs.) propolis_coproduct_totalcost22</v>
      </c>
      <c r="I420" s="9"/>
      <c r="J420" s="9"/>
      <c r="K420" s="8" t="s">
        <v>1198</v>
      </c>
      <c r="L420" s="9"/>
      <c r="M420" s="9"/>
      <c r="N420" s="9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</row>
    <row r="421" spans="1:31" x14ac:dyDescent="0.25">
      <c r="A421" s="7" t="s">
        <v>1002</v>
      </c>
      <c r="B421" s="8" t="s">
        <v>1199</v>
      </c>
      <c r="C421" s="8"/>
      <c r="D421" s="8" t="s">
        <v>1004</v>
      </c>
      <c r="E421" s="8" t="s">
        <v>1005</v>
      </c>
      <c r="F421" s="7" t="s">
        <v>18</v>
      </c>
      <c r="G421" s="7" t="s">
        <v>128</v>
      </c>
      <c r="H421" s="8" t="str">
        <f t="shared" si="3"/>
        <v>(A) 14.4.1, Propolis - Total By Product Outcomes propolis_byproduct_outcomes22</v>
      </c>
      <c r="I421" s="9"/>
      <c r="J421" s="9"/>
      <c r="K421" s="8" t="s">
        <v>1198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</row>
    <row r="422" spans="1:31" x14ac:dyDescent="0.25">
      <c r="A422" s="7" t="s">
        <v>1006</v>
      </c>
      <c r="B422" s="8" t="s">
        <v>1200</v>
      </c>
      <c r="C422" s="8"/>
      <c r="D422" s="8" t="s">
        <v>1008</v>
      </c>
      <c r="E422" s="8" t="s">
        <v>632</v>
      </c>
      <c r="F422" s="7" t="s">
        <v>18</v>
      </c>
      <c r="G422" s="7" t="s">
        <v>128</v>
      </c>
      <c r="H422" s="8" t="str">
        <f t="shared" si="3"/>
        <v>14.4.2. Propolis - Local Shop - Quantity (Kg) propolis_local_qty22</v>
      </c>
      <c r="I422" s="9"/>
      <c r="J422" s="9"/>
      <c r="K422" s="8" t="s">
        <v>1198</v>
      </c>
      <c r="L422" s="9"/>
      <c r="M422" s="9"/>
      <c r="N422" s="9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</row>
    <row r="423" spans="1:31" x14ac:dyDescent="0.25">
      <c r="A423" s="7" t="s">
        <v>1009</v>
      </c>
      <c r="B423" s="8" t="s">
        <v>1157</v>
      </c>
      <c r="C423" s="8"/>
      <c r="D423" s="8" t="s">
        <v>1011</v>
      </c>
      <c r="E423" s="8" t="s">
        <v>636</v>
      </c>
      <c r="F423" s="7" t="s">
        <v>18</v>
      </c>
      <c r="G423" s="7" t="s">
        <v>128</v>
      </c>
      <c r="H423" s="8" t="str">
        <f t="shared" si="3"/>
        <v>14.4.3. Propolis - Local Shop - Price (Rs/Kg) pollen_local_price22</v>
      </c>
      <c r="I423" s="9"/>
      <c r="J423" s="9"/>
      <c r="K423" s="8" t="s">
        <v>1198</v>
      </c>
      <c r="L423" s="9"/>
      <c r="M423" s="9"/>
      <c r="N423" s="9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</row>
    <row r="424" spans="1:31" x14ac:dyDescent="0.25">
      <c r="A424" s="7" t="s">
        <v>1012</v>
      </c>
      <c r="B424" s="8" t="s">
        <v>1201</v>
      </c>
      <c r="C424" s="8"/>
      <c r="D424" s="8" t="s">
        <v>1014</v>
      </c>
      <c r="E424" s="8" t="s">
        <v>1078</v>
      </c>
      <c r="F424" s="7" t="s">
        <v>18</v>
      </c>
      <c r="G424" s="7" t="s">
        <v>128</v>
      </c>
      <c r="H424" s="8" t="str">
        <f t="shared" si="3"/>
        <v>14.4.4. Propolis - Local Shop - Distance to Place of Sale (in KM) propolis_local_dist22</v>
      </c>
      <c r="I424" s="9"/>
      <c r="J424" s="9"/>
      <c r="K424" s="8" t="s">
        <v>1198</v>
      </c>
      <c r="L424" s="9"/>
      <c r="M424" s="9"/>
      <c r="N424" s="9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</row>
    <row r="425" spans="1:31" x14ac:dyDescent="0.25">
      <c r="A425" s="7" t="s">
        <v>1015</v>
      </c>
      <c r="B425" s="8" t="s">
        <v>1202</v>
      </c>
      <c r="C425" s="8"/>
      <c r="D425" s="8" t="s">
        <v>1017</v>
      </c>
      <c r="E425" s="8" t="s">
        <v>644</v>
      </c>
      <c r="F425" s="7" t="s">
        <v>18</v>
      </c>
      <c r="G425" s="7" t="s">
        <v>128</v>
      </c>
      <c r="H425" s="8" t="str">
        <f t="shared" si="3"/>
        <v>14.4.5. Propolis - Fair/Exhibition - Quantity (Kg) propolis_fair_qty22</v>
      </c>
      <c r="I425" s="9"/>
      <c r="J425" s="9"/>
      <c r="K425" s="8" t="s">
        <v>1198</v>
      </c>
      <c r="L425" s="9"/>
      <c r="M425" s="9"/>
      <c r="N425" s="9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</row>
    <row r="426" spans="1:31" x14ac:dyDescent="0.25">
      <c r="A426" s="7" t="s">
        <v>1018</v>
      </c>
      <c r="B426" s="8" t="s">
        <v>1203</v>
      </c>
      <c r="C426" s="8"/>
      <c r="D426" s="8" t="s">
        <v>1020</v>
      </c>
      <c r="E426" s="8" t="s">
        <v>648</v>
      </c>
      <c r="F426" s="7" t="s">
        <v>18</v>
      </c>
      <c r="G426" s="7" t="s">
        <v>128</v>
      </c>
      <c r="H426" s="8" t="str">
        <f t="shared" si="3"/>
        <v>14.4.6. Propolis - Fair/Exhibition - Price (Rs/Kg) propolis_fair_price22</v>
      </c>
      <c r="I426" s="9"/>
      <c r="J426" s="9"/>
      <c r="K426" s="8" t="s">
        <v>1198</v>
      </c>
      <c r="L426" s="9"/>
      <c r="M426" s="9"/>
      <c r="N426" s="9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</row>
    <row r="427" spans="1:31" x14ac:dyDescent="0.25">
      <c r="A427" s="7" t="s">
        <v>1021</v>
      </c>
      <c r="B427" s="8" t="s">
        <v>1204</v>
      </c>
      <c r="C427" s="8"/>
      <c r="D427" s="8" t="s">
        <v>1023</v>
      </c>
      <c r="E427" s="8" t="s">
        <v>1078</v>
      </c>
      <c r="F427" s="7" t="s">
        <v>18</v>
      </c>
      <c r="G427" s="7" t="s">
        <v>128</v>
      </c>
      <c r="H427" s="8" t="str">
        <f t="shared" si="3"/>
        <v>14.4.7. Propolis - Fair/Exhibition - Distance to Place of Sale (in KM) propolis_fair_dist22</v>
      </c>
      <c r="I427" s="9"/>
      <c r="J427" s="9"/>
      <c r="K427" s="8" t="s">
        <v>1198</v>
      </c>
      <c r="L427" s="9"/>
      <c r="M427" s="9"/>
      <c r="N427" s="9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</row>
    <row r="428" spans="1:31" x14ac:dyDescent="0.25">
      <c r="A428" s="7" t="s">
        <v>1024</v>
      </c>
      <c r="B428" s="8" t="s">
        <v>1205</v>
      </c>
      <c r="C428" s="8"/>
      <c r="D428" s="8" t="s">
        <v>1026</v>
      </c>
      <c r="E428" s="8" t="s">
        <v>655</v>
      </c>
      <c r="F428" s="7" t="s">
        <v>337</v>
      </c>
      <c r="G428" s="7" t="s">
        <v>128</v>
      </c>
      <c r="H428" s="8" t="str">
        <f t="shared" ref="H428:H578" si="4">CONCATENATE(A428, " ", D428, " ", B428)</f>
        <v>14.4.8. Propolis - Consumer - Quantity (Kg) propolis_consumer_qty22</v>
      </c>
      <c r="I428" s="9"/>
      <c r="J428" s="9"/>
      <c r="K428" s="8" t="s">
        <v>1198</v>
      </c>
      <c r="L428" s="9"/>
      <c r="M428" s="9"/>
      <c r="N428" s="9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</row>
    <row r="429" spans="1:31" x14ac:dyDescent="0.25">
      <c r="A429" s="7" t="s">
        <v>1027</v>
      </c>
      <c r="B429" s="8" t="s">
        <v>1206</v>
      </c>
      <c r="C429" s="8"/>
      <c r="D429" s="8" t="s">
        <v>1029</v>
      </c>
      <c r="E429" s="8" t="s">
        <v>659</v>
      </c>
      <c r="F429" s="7" t="s">
        <v>337</v>
      </c>
      <c r="G429" s="7" t="s">
        <v>128</v>
      </c>
      <c r="H429" s="8" t="str">
        <f t="shared" si="4"/>
        <v>14.4.9. Propolis - Consumer - Price (Rs/Kg) propolis_consumer_price22</v>
      </c>
      <c r="I429" s="9"/>
      <c r="J429" s="9"/>
      <c r="K429" s="8" t="s">
        <v>1198</v>
      </c>
      <c r="L429" s="9"/>
      <c r="M429" s="9"/>
      <c r="N429" s="9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</row>
    <row r="430" spans="1:31" x14ac:dyDescent="0.25">
      <c r="A430" s="7" t="s">
        <v>1030</v>
      </c>
      <c r="B430" s="8" t="s">
        <v>1207</v>
      </c>
      <c r="C430" s="8"/>
      <c r="D430" s="8" t="s">
        <v>1032</v>
      </c>
      <c r="E430" s="8" t="s">
        <v>1078</v>
      </c>
      <c r="F430" s="7" t="s">
        <v>18</v>
      </c>
      <c r="G430" s="7" t="s">
        <v>128</v>
      </c>
      <c r="H430" s="8" t="str">
        <f t="shared" si="4"/>
        <v>14.4.10. Propolis - Consumer - Distance to Place of Sale (in KM) propolis_consumer_dist22</v>
      </c>
      <c r="I430" s="9"/>
      <c r="J430" s="9"/>
      <c r="K430" s="8" t="s">
        <v>1198</v>
      </c>
      <c r="L430" s="9"/>
      <c r="M430" s="9"/>
      <c r="N430" s="9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</row>
    <row r="431" spans="1:31" x14ac:dyDescent="0.25">
      <c r="A431" s="7" t="s">
        <v>1033</v>
      </c>
      <c r="B431" s="8" t="s">
        <v>1208</v>
      </c>
      <c r="C431" s="8"/>
      <c r="D431" s="8" t="s">
        <v>1035</v>
      </c>
      <c r="E431" s="8" t="s">
        <v>666</v>
      </c>
      <c r="F431" s="7" t="s">
        <v>337</v>
      </c>
      <c r="G431" s="7" t="s">
        <v>128</v>
      </c>
      <c r="H431" s="8" t="str">
        <f t="shared" si="4"/>
        <v>14.4.11. Propolis - Private Retailer - Quantity (Kg) propolis_private_qty22</v>
      </c>
      <c r="I431" s="9"/>
      <c r="J431" s="9"/>
      <c r="K431" s="8" t="s">
        <v>1198</v>
      </c>
      <c r="L431" s="9"/>
      <c r="M431" s="9"/>
      <c r="N431" s="9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</row>
    <row r="432" spans="1:31" x14ac:dyDescent="0.25">
      <c r="A432" s="7" t="s">
        <v>1036</v>
      </c>
      <c r="B432" s="8" t="s">
        <v>1209</v>
      </c>
      <c r="C432" s="8"/>
      <c r="D432" s="8" t="s">
        <v>1038</v>
      </c>
      <c r="E432" s="8" t="s">
        <v>670</v>
      </c>
      <c r="F432" s="7" t="s">
        <v>337</v>
      </c>
      <c r="G432" s="7" t="s">
        <v>128</v>
      </c>
      <c r="H432" s="8" t="str">
        <f t="shared" si="4"/>
        <v>14.4.12. Propolis - Private Retailer - Price (Rs/Kg) propolis_private_price22</v>
      </c>
      <c r="I432" s="9"/>
      <c r="J432" s="9"/>
      <c r="K432" s="8" t="s">
        <v>1198</v>
      </c>
      <c r="L432" s="9"/>
      <c r="M432" s="9"/>
      <c r="N432" s="9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</row>
    <row r="433" spans="1:31" x14ac:dyDescent="0.25">
      <c r="A433" s="7" t="s">
        <v>1039</v>
      </c>
      <c r="B433" s="8" t="s">
        <v>1210</v>
      </c>
      <c r="C433" s="8"/>
      <c r="D433" s="8" t="s">
        <v>1041</v>
      </c>
      <c r="E433" s="8" t="s">
        <v>1078</v>
      </c>
      <c r="F433" s="7" t="s">
        <v>18</v>
      </c>
      <c r="G433" s="7" t="s">
        <v>128</v>
      </c>
      <c r="H433" s="8" t="str">
        <f t="shared" si="4"/>
        <v>14.4.13. Propolis - Private Retailer - Distance to Place of Sale (in KM) propolis_private_dist22</v>
      </c>
      <c r="I433" s="9"/>
      <c r="J433" s="9"/>
      <c r="K433" s="8" t="s">
        <v>1198</v>
      </c>
      <c r="L433" s="9"/>
      <c r="M433" s="9"/>
      <c r="N433" s="9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</row>
    <row r="434" spans="1:31" x14ac:dyDescent="0.25">
      <c r="A434" s="7" t="s">
        <v>1042</v>
      </c>
      <c r="B434" s="8" t="s">
        <v>1211</v>
      </c>
      <c r="C434" s="8"/>
      <c r="D434" s="8" t="s">
        <v>1044</v>
      </c>
      <c r="E434" s="8" t="s">
        <v>677</v>
      </c>
      <c r="F434" s="7" t="s">
        <v>337</v>
      </c>
      <c r="G434" s="7" t="s">
        <v>128</v>
      </c>
      <c r="H434" s="8" t="str">
        <f t="shared" si="4"/>
        <v>14.4.14. Propolis - Honey Processing - Unit Quantity (Kg) propolis_honey_qty22</v>
      </c>
      <c r="I434" s="9"/>
      <c r="J434" s="9"/>
      <c r="K434" s="8" t="s">
        <v>1198</v>
      </c>
      <c r="L434" s="9"/>
      <c r="M434" s="9"/>
      <c r="N434" s="9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</row>
    <row r="435" spans="1:31" x14ac:dyDescent="0.25">
      <c r="A435" s="7" t="s">
        <v>1045</v>
      </c>
      <c r="B435" s="8" t="s">
        <v>1212</v>
      </c>
      <c r="C435" s="8"/>
      <c r="D435" s="8" t="s">
        <v>1047</v>
      </c>
      <c r="E435" s="8" t="s">
        <v>681</v>
      </c>
      <c r="F435" s="7" t="s">
        <v>337</v>
      </c>
      <c r="G435" s="7" t="s">
        <v>128</v>
      </c>
      <c r="H435" s="8" t="str">
        <f t="shared" si="4"/>
        <v>14.4.15. Propolis - Honey Processing - Unit Price (Rs/Kg) propolis_honey_price22</v>
      </c>
      <c r="I435" s="9"/>
      <c r="J435" s="9"/>
      <c r="K435" s="8" t="s">
        <v>1198</v>
      </c>
      <c r="L435" s="9"/>
      <c r="M435" s="9"/>
      <c r="N435" s="9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</row>
    <row r="436" spans="1:31" x14ac:dyDescent="0.25">
      <c r="A436" s="7" t="s">
        <v>1048</v>
      </c>
      <c r="B436" s="8" t="s">
        <v>1213</v>
      </c>
      <c r="C436" s="8"/>
      <c r="D436" s="8" t="s">
        <v>1050</v>
      </c>
      <c r="E436" s="8" t="s">
        <v>1078</v>
      </c>
      <c r="F436" s="7" t="s">
        <v>18</v>
      </c>
      <c r="G436" s="7" t="s">
        <v>128</v>
      </c>
      <c r="H436" s="8" t="str">
        <f t="shared" si="4"/>
        <v>14.4.16. Propolis - Honey Processing - Distance to Place of Sale (in KM) propolis_honey_dist22</v>
      </c>
      <c r="I436" s="9"/>
      <c r="J436" s="9"/>
      <c r="K436" s="8" t="s">
        <v>1198</v>
      </c>
      <c r="L436" s="9"/>
      <c r="M436" s="9"/>
      <c r="N436" s="9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</row>
    <row r="437" spans="1:31" x14ac:dyDescent="0.25">
      <c r="A437" s="7" t="s">
        <v>1051</v>
      </c>
      <c r="B437" s="8" t="s">
        <v>1214</v>
      </c>
      <c r="C437" s="8"/>
      <c r="D437" s="8" t="s">
        <v>1053</v>
      </c>
      <c r="E437" s="8" t="s">
        <v>688</v>
      </c>
      <c r="F437" s="7" t="s">
        <v>26</v>
      </c>
      <c r="G437" s="9"/>
      <c r="H437" s="8" t="str">
        <f t="shared" si="4"/>
        <v>14.4.17. Propolis - Honey Processing Unit Name propolis_honey_unitname22</v>
      </c>
      <c r="I437" s="9"/>
      <c r="J437" s="9"/>
      <c r="K437" s="8" t="s">
        <v>1198</v>
      </c>
      <c r="L437" s="8" t="s">
        <v>863</v>
      </c>
      <c r="M437" s="9"/>
      <c r="N437" s="9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</row>
    <row r="438" spans="1:31" x14ac:dyDescent="0.25">
      <c r="A438" s="7" t="s">
        <v>1054</v>
      </c>
      <c r="B438" s="8" t="s">
        <v>1215</v>
      </c>
      <c r="C438" s="8"/>
      <c r="D438" s="8" t="s">
        <v>1216</v>
      </c>
      <c r="E438" s="8" t="s">
        <v>694</v>
      </c>
      <c r="F438" s="7" t="s">
        <v>18</v>
      </c>
      <c r="G438" s="9"/>
      <c r="H438" s="8" t="str">
        <f t="shared" si="4"/>
        <v>14.4.18. Propolis - Honey Processing Unit Name - other propolis_honey_unitname22_other</v>
      </c>
      <c r="I438" s="9"/>
      <c r="J438" s="9"/>
      <c r="K438" s="8" t="s">
        <v>1217</v>
      </c>
      <c r="L438" s="9"/>
      <c r="M438" s="9"/>
      <c r="N438" s="9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</row>
    <row r="439" spans="1:31" x14ac:dyDescent="0.25">
      <c r="A439" s="12" t="s">
        <v>1058</v>
      </c>
      <c r="B439" s="3"/>
      <c r="C439" s="2"/>
      <c r="D439" s="2" t="s">
        <v>389</v>
      </c>
      <c r="E439" s="2" t="s">
        <v>390</v>
      </c>
      <c r="F439" s="3"/>
      <c r="G439" s="3"/>
      <c r="H439" s="2" t="str">
        <f t="shared" si="4"/>
        <v xml:space="preserve">14.5. Venom </v>
      </c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x14ac:dyDescent="0.25">
      <c r="A440" s="7" t="s">
        <v>1058</v>
      </c>
      <c r="B440" s="8" t="s">
        <v>1218</v>
      </c>
      <c r="C440" s="8"/>
      <c r="D440" s="8" t="s">
        <v>389</v>
      </c>
      <c r="E440" s="8" t="s">
        <v>390</v>
      </c>
      <c r="F440" s="7" t="s">
        <v>26</v>
      </c>
      <c r="G440" s="9"/>
      <c r="H440" s="8" t="str">
        <f t="shared" si="4"/>
        <v>14.5. Venom venom_coproduct22</v>
      </c>
      <c r="I440" s="9"/>
      <c r="J440" s="9"/>
      <c r="K440" s="9"/>
      <c r="L440" s="8" t="s">
        <v>124</v>
      </c>
      <c r="M440" s="9"/>
      <c r="N440" s="9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</row>
    <row r="441" spans="1:31" x14ac:dyDescent="0.25">
      <c r="A441" s="7" t="s">
        <v>1060</v>
      </c>
      <c r="B441" s="8" t="s">
        <v>1219</v>
      </c>
      <c r="C441" s="8"/>
      <c r="D441" s="8" t="s">
        <v>1062</v>
      </c>
      <c r="E441" s="8" t="s">
        <v>1063</v>
      </c>
      <c r="F441" s="7" t="s">
        <v>18</v>
      </c>
      <c r="G441" s="7" t="s">
        <v>128</v>
      </c>
      <c r="H441" s="8" t="str">
        <f t="shared" si="4"/>
        <v>14.5.1. Venom - Total Cost of Beekeeping Co-Product (Rs.) venom_coproduct_totalcost22</v>
      </c>
      <c r="I441" s="9"/>
      <c r="J441" s="9"/>
      <c r="K441" s="8" t="s">
        <v>1220</v>
      </c>
      <c r="L441" s="9"/>
      <c r="M441" s="9"/>
      <c r="N441" s="9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</row>
    <row r="442" spans="1:31" x14ac:dyDescent="0.25">
      <c r="A442" s="7" t="s">
        <v>1065</v>
      </c>
      <c r="B442" s="8" t="s">
        <v>1221</v>
      </c>
      <c r="C442" s="8"/>
      <c r="D442" s="8" t="s">
        <v>1067</v>
      </c>
      <c r="E442" s="8" t="s">
        <v>1068</v>
      </c>
      <c r="F442" s="7" t="s">
        <v>18</v>
      </c>
      <c r="G442" s="7" t="s">
        <v>128</v>
      </c>
      <c r="H442" s="8" t="str">
        <f t="shared" si="4"/>
        <v>(A) 14.5.1, Venom - Total By Product Outcomes venom_byproduct_outcomes22</v>
      </c>
      <c r="I442" s="9"/>
      <c r="J442" s="9"/>
      <c r="K442" s="8" t="s">
        <v>1220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</row>
    <row r="443" spans="1:31" x14ac:dyDescent="0.25">
      <c r="A443" s="7" t="s">
        <v>1069</v>
      </c>
      <c r="B443" s="8" t="s">
        <v>1222</v>
      </c>
      <c r="C443" s="8"/>
      <c r="D443" s="8" t="s">
        <v>1071</v>
      </c>
      <c r="E443" s="8" t="s">
        <v>632</v>
      </c>
      <c r="F443" s="7" t="s">
        <v>18</v>
      </c>
      <c r="G443" s="7" t="s">
        <v>128</v>
      </c>
      <c r="H443" s="8" t="str">
        <f t="shared" si="4"/>
        <v>14.5.2. Venom - Local Shop - Quantity (Kg) venom_local_qty22</v>
      </c>
      <c r="I443" s="9"/>
      <c r="J443" s="9"/>
      <c r="K443" s="8" t="s">
        <v>1220</v>
      </c>
      <c r="L443" s="9"/>
      <c r="M443" s="9"/>
      <c r="N443" s="9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</row>
    <row r="444" spans="1:31" x14ac:dyDescent="0.25">
      <c r="A444" s="7" t="s">
        <v>1072</v>
      </c>
      <c r="B444" s="8" t="s">
        <v>1223</v>
      </c>
      <c r="C444" s="8"/>
      <c r="D444" s="8" t="s">
        <v>1074</v>
      </c>
      <c r="E444" s="8" t="s">
        <v>636</v>
      </c>
      <c r="F444" s="7" t="s">
        <v>18</v>
      </c>
      <c r="G444" s="7" t="s">
        <v>128</v>
      </c>
      <c r="H444" s="8" t="str">
        <f t="shared" si="4"/>
        <v>14.5.3. Venom - Local Shop - Price (Rs/Kg) pollen_locals_price22</v>
      </c>
      <c r="I444" s="9"/>
      <c r="J444" s="9"/>
      <c r="K444" s="8" t="s">
        <v>1220</v>
      </c>
      <c r="L444" s="9"/>
      <c r="M444" s="9"/>
      <c r="N444" s="9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</row>
    <row r="445" spans="1:31" x14ac:dyDescent="0.25">
      <c r="A445" s="7" t="s">
        <v>1075</v>
      </c>
      <c r="B445" s="8" t="s">
        <v>1224</v>
      </c>
      <c r="C445" s="8"/>
      <c r="D445" s="8" t="s">
        <v>1077</v>
      </c>
      <c r="E445" s="8" t="s">
        <v>1078</v>
      </c>
      <c r="F445" s="7" t="s">
        <v>18</v>
      </c>
      <c r="G445" s="9"/>
      <c r="H445" s="8" t="str">
        <f t="shared" si="4"/>
        <v>14.5.4. Venom - Local Shop - Distance to Place of Sale (in KM) venom_local_dist22</v>
      </c>
      <c r="I445" s="9"/>
      <c r="J445" s="9"/>
      <c r="K445" s="8" t="s">
        <v>1220</v>
      </c>
      <c r="L445" s="9"/>
      <c r="M445" s="9"/>
      <c r="N445" s="9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</row>
    <row r="446" spans="1:31" x14ac:dyDescent="0.25">
      <c r="A446" s="7" t="s">
        <v>1079</v>
      </c>
      <c r="B446" s="8" t="s">
        <v>1225</v>
      </c>
      <c r="C446" s="8"/>
      <c r="D446" s="8" t="s">
        <v>1081</v>
      </c>
      <c r="E446" s="8" t="s">
        <v>644</v>
      </c>
      <c r="F446" s="7" t="s">
        <v>18</v>
      </c>
      <c r="G446" s="7" t="s">
        <v>128</v>
      </c>
      <c r="H446" s="8" t="str">
        <f t="shared" si="4"/>
        <v>14.5.5. Venom - Fair/Exhibition - Quantity (Kg) venom_fair_qty22</v>
      </c>
      <c r="I446" s="9"/>
      <c r="J446" s="9"/>
      <c r="K446" s="8" t="s">
        <v>1220</v>
      </c>
      <c r="L446" s="9"/>
      <c r="M446" s="9"/>
      <c r="N446" s="9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</row>
    <row r="447" spans="1:31" x14ac:dyDescent="0.25">
      <c r="A447" s="7" t="s">
        <v>1082</v>
      </c>
      <c r="B447" s="8" t="s">
        <v>1226</v>
      </c>
      <c r="C447" s="8"/>
      <c r="D447" s="8" t="s">
        <v>1084</v>
      </c>
      <c r="E447" s="8" t="s">
        <v>648</v>
      </c>
      <c r="F447" s="7" t="s">
        <v>18</v>
      </c>
      <c r="G447" s="7" t="s">
        <v>128</v>
      </c>
      <c r="H447" s="8" t="str">
        <f t="shared" si="4"/>
        <v>14.5.6. Venom - Fair/Exhibition - Price (Rs/Kg) venom_fair_price22</v>
      </c>
      <c r="I447" s="9"/>
      <c r="J447" s="9"/>
      <c r="K447" s="8" t="s">
        <v>1220</v>
      </c>
      <c r="L447" s="9"/>
      <c r="M447" s="9"/>
      <c r="N447" s="9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</row>
    <row r="448" spans="1:31" x14ac:dyDescent="0.25">
      <c r="A448" s="7" t="s">
        <v>1085</v>
      </c>
      <c r="B448" s="8" t="s">
        <v>1227</v>
      </c>
      <c r="C448" s="8"/>
      <c r="D448" s="8" t="s">
        <v>1087</v>
      </c>
      <c r="E448" s="8" t="s">
        <v>1078</v>
      </c>
      <c r="F448" s="7" t="s">
        <v>18</v>
      </c>
      <c r="G448" s="9"/>
      <c r="H448" s="8" t="str">
        <f t="shared" si="4"/>
        <v>14.5.7. Venom - Fair/Exhibition - Distance to Place of Sale (in KM) venom_fair_dist22</v>
      </c>
      <c r="I448" s="9"/>
      <c r="J448" s="9"/>
      <c r="K448" s="8" t="s">
        <v>1220</v>
      </c>
      <c r="L448" s="9"/>
      <c r="M448" s="9"/>
      <c r="N448" s="9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</row>
    <row r="449" spans="1:31" x14ac:dyDescent="0.25">
      <c r="A449" s="7" t="s">
        <v>1088</v>
      </c>
      <c r="B449" s="8" t="s">
        <v>1228</v>
      </c>
      <c r="C449" s="8"/>
      <c r="D449" s="8" t="s">
        <v>1090</v>
      </c>
      <c r="E449" s="8" t="s">
        <v>655</v>
      </c>
      <c r="F449" s="7" t="s">
        <v>337</v>
      </c>
      <c r="G449" s="7" t="s">
        <v>128</v>
      </c>
      <c r="H449" s="8" t="str">
        <f t="shared" si="4"/>
        <v>14.5.8. Venom - Consumer - Quantity (Kg) venom_consumer_qty22</v>
      </c>
      <c r="I449" s="9"/>
      <c r="J449" s="9"/>
      <c r="K449" s="8" t="s">
        <v>1220</v>
      </c>
      <c r="L449" s="9"/>
      <c r="M449" s="9"/>
      <c r="N449" s="9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</row>
    <row r="450" spans="1:31" x14ac:dyDescent="0.25">
      <c r="A450" s="7" t="s">
        <v>1091</v>
      </c>
      <c r="B450" s="8" t="s">
        <v>1229</v>
      </c>
      <c r="C450" s="8"/>
      <c r="D450" s="8" t="s">
        <v>1093</v>
      </c>
      <c r="E450" s="8" t="s">
        <v>659</v>
      </c>
      <c r="F450" s="7" t="s">
        <v>337</v>
      </c>
      <c r="G450" s="7" t="s">
        <v>128</v>
      </c>
      <c r="H450" s="8" t="str">
        <f t="shared" si="4"/>
        <v>14.5.9. Venom - Consumer - Price (Rs/Kg) venom_consumer_price22</v>
      </c>
      <c r="I450" s="9"/>
      <c r="J450" s="9"/>
      <c r="K450" s="8" t="s">
        <v>1220</v>
      </c>
      <c r="L450" s="9"/>
      <c r="M450" s="9"/>
      <c r="N450" s="9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</row>
    <row r="451" spans="1:31" x14ac:dyDescent="0.25">
      <c r="A451" s="7" t="s">
        <v>1094</v>
      </c>
      <c r="B451" s="8" t="s">
        <v>1230</v>
      </c>
      <c r="C451" s="8"/>
      <c r="D451" s="8" t="s">
        <v>1096</v>
      </c>
      <c r="E451" s="8" t="s">
        <v>1078</v>
      </c>
      <c r="F451" s="7" t="s">
        <v>18</v>
      </c>
      <c r="G451" s="9"/>
      <c r="H451" s="8" t="str">
        <f t="shared" si="4"/>
        <v>14.5.10. Venom - Consumer - Distance to Place of Sale (in KM) venom_consumer_dist22</v>
      </c>
      <c r="I451" s="9"/>
      <c r="J451" s="9"/>
      <c r="K451" s="8" t="s">
        <v>1220</v>
      </c>
      <c r="L451" s="9"/>
      <c r="M451" s="9"/>
      <c r="N451" s="9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</row>
    <row r="452" spans="1:31" x14ac:dyDescent="0.25">
      <c r="A452" s="7" t="s">
        <v>1097</v>
      </c>
      <c r="B452" s="8" t="s">
        <v>1231</v>
      </c>
      <c r="C452" s="8"/>
      <c r="D452" s="8" t="s">
        <v>1099</v>
      </c>
      <c r="E452" s="8" t="s">
        <v>666</v>
      </c>
      <c r="F452" s="7" t="s">
        <v>337</v>
      </c>
      <c r="G452" s="7" t="s">
        <v>128</v>
      </c>
      <c r="H452" s="8" t="str">
        <f t="shared" si="4"/>
        <v>14.5.11. Venom - Private Retailer - Quantity (Kg) venom_private_qty22</v>
      </c>
      <c r="I452" s="9"/>
      <c r="J452" s="9"/>
      <c r="K452" s="8" t="s">
        <v>1220</v>
      </c>
      <c r="L452" s="9"/>
      <c r="M452" s="9"/>
      <c r="N452" s="9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</row>
    <row r="453" spans="1:31" x14ac:dyDescent="0.25">
      <c r="A453" s="7" t="s">
        <v>845</v>
      </c>
      <c r="B453" s="8" t="s">
        <v>1232</v>
      </c>
      <c r="C453" s="8"/>
      <c r="D453" s="8" t="s">
        <v>1101</v>
      </c>
      <c r="E453" s="8" t="s">
        <v>670</v>
      </c>
      <c r="F453" s="7" t="s">
        <v>337</v>
      </c>
      <c r="G453" s="7" t="s">
        <v>128</v>
      </c>
      <c r="H453" s="8" t="str">
        <f t="shared" si="4"/>
        <v>14.1.12. Venom - Private Retailer - Price (Rs/Kg) venom_private_price22</v>
      </c>
      <c r="I453" s="9"/>
      <c r="J453" s="9"/>
      <c r="K453" s="8" t="s">
        <v>1220</v>
      </c>
      <c r="L453" s="9"/>
      <c r="M453" s="9"/>
      <c r="N453" s="9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</row>
    <row r="454" spans="1:31" x14ac:dyDescent="0.25">
      <c r="A454" s="7" t="s">
        <v>1102</v>
      </c>
      <c r="B454" s="8" t="s">
        <v>1233</v>
      </c>
      <c r="C454" s="8"/>
      <c r="D454" s="8" t="s">
        <v>1104</v>
      </c>
      <c r="E454" s="8" t="s">
        <v>1078</v>
      </c>
      <c r="F454" s="7" t="s">
        <v>18</v>
      </c>
      <c r="G454" s="9"/>
      <c r="H454" s="8" t="str">
        <f t="shared" si="4"/>
        <v>14.5.13. Venom - Private Retailer - Distance to Place of Sale (in KM) venom_private_dist22</v>
      </c>
      <c r="I454" s="9"/>
      <c r="J454" s="9"/>
      <c r="K454" s="8" t="s">
        <v>1220</v>
      </c>
      <c r="L454" s="9"/>
      <c r="M454" s="9"/>
      <c r="N454" s="9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</row>
    <row r="455" spans="1:31" x14ac:dyDescent="0.25">
      <c r="A455" s="7" t="s">
        <v>1105</v>
      </c>
      <c r="B455" s="8" t="s">
        <v>1234</v>
      </c>
      <c r="C455" s="8"/>
      <c r="D455" s="8" t="s">
        <v>1107</v>
      </c>
      <c r="E455" s="8" t="s">
        <v>677</v>
      </c>
      <c r="F455" s="7" t="s">
        <v>337</v>
      </c>
      <c r="G455" s="7" t="s">
        <v>128</v>
      </c>
      <c r="H455" s="8" t="str">
        <f t="shared" si="4"/>
        <v>14.5.14. Venom - Honey Processing - Unit Quantity (Kg) venom_honey_qty22</v>
      </c>
      <c r="I455" s="9"/>
      <c r="J455" s="9"/>
      <c r="K455" s="8" t="s">
        <v>1220</v>
      </c>
      <c r="L455" s="9"/>
      <c r="M455" s="9"/>
      <c r="N455" s="9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</row>
    <row r="456" spans="1:31" x14ac:dyDescent="0.25">
      <c r="A456" s="7" t="s">
        <v>1108</v>
      </c>
      <c r="B456" s="8" t="s">
        <v>1235</v>
      </c>
      <c r="C456" s="8"/>
      <c r="D456" s="8" t="s">
        <v>1110</v>
      </c>
      <c r="E456" s="8" t="s">
        <v>681</v>
      </c>
      <c r="F456" s="7" t="s">
        <v>337</v>
      </c>
      <c r="G456" s="7" t="s">
        <v>128</v>
      </c>
      <c r="H456" s="8" t="str">
        <f t="shared" si="4"/>
        <v>14.5.15. Venom - Honey Processing - Unit Price (Rs/Kg) venom_honey_price22</v>
      </c>
      <c r="I456" s="9"/>
      <c r="J456" s="9"/>
      <c r="K456" s="8" t="s">
        <v>1220</v>
      </c>
      <c r="L456" s="9"/>
      <c r="M456" s="9"/>
      <c r="N456" s="9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</row>
    <row r="457" spans="1:31" x14ac:dyDescent="0.25">
      <c r="A457" s="7" t="s">
        <v>1112</v>
      </c>
      <c r="B457" s="8" t="s">
        <v>1236</v>
      </c>
      <c r="C457" s="8"/>
      <c r="D457" s="8" t="s">
        <v>1114</v>
      </c>
      <c r="E457" s="8" t="s">
        <v>1078</v>
      </c>
      <c r="F457" s="7" t="s">
        <v>18</v>
      </c>
      <c r="G457" s="9"/>
      <c r="H457" s="8" t="str">
        <f t="shared" si="4"/>
        <v>14.5.16. Venom - Honey Processing - Distance to Place of Sale (in KM) venom_honey_dist22</v>
      </c>
      <c r="I457" s="9"/>
      <c r="J457" s="9"/>
      <c r="K457" s="8" t="s">
        <v>1220</v>
      </c>
      <c r="L457" s="9"/>
      <c r="M457" s="9"/>
      <c r="N457" s="9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</row>
    <row r="458" spans="1:31" x14ac:dyDescent="0.25">
      <c r="A458" s="7" t="s">
        <v>1115</v>
      </c>
      <c r="B458" s="8" t="s">
        <v>1237</v>
      </c>
      <c r="C458" s="8"/>
      <c r="D458" s="8" t="s">
        <v>1117</v>
      </c>
      <c r="E458" s="8" t="s">
        <v>688</v>
      </c>
      <c r="F458" s="7" t="s">
        <v>26</v>
      </c>
      <c r="G458" s="9"/>
      <c r="H458" s="8" t="str">
        <f t="shared" si="4"/>
        <v>14.5.17. Venom - Honey Processing Unit Name venom_honey_unitname22</v>
      </c>
      <c r="I458" s="9"/>
      <c r="J458" s="9"/>
      <c r="K458" s="8" t="s">
        <v>1220</v>
      </c>
      <c r="L458" s="8" t="s">
        <v>863</v>
      </c>
      <c r="M458" s="9"/>
      <c r="N458" s="9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</row>
    <row r="459" spans="1:31" x14ac:dyDescent="0.25">
      <c r="A459" s="7" t="s">
        <v>1118</v>
      </c>
      <c r="B459" s="8" t="s">
        <v>1238</v>
      </c>
      <c r="C459" s="8"/>
      <c r="D459" s="8" t="s">
        <v>1120</v>
      </c>
      <c r="E459" s="8" t="s">
        <v>694</v>
      </c>
      <c r="F459" s="7" t="s">
        <v>18</v>
      </c>
      <c r="G459" s="9"/>
      <c r="H459" s="8" t="str">
        <f t="shared" si="4"/>
        <v>14.5.18. Venom - Honey Processing Unit Name - Other venom_honey_unitname22_other</v>
      </c>
      <c r="I459" s="9"/>
      <c r="J459" s="9"/>
      <c r="K459" s="8" t="s">
        <v>1239</v>
      </c>
      <c r="L459" s="9"/>
      <c r="M459" s="9"/>
      <c r="N459" s="9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</row>
    <row r="460" spans="1:31" x14ac:dyDescent="0.25">
      <c r="A460" s="4" t="s">
        <v>181</v>
      </c>
      <c r="B460" s="5"/>
      <c r="C460" s="6"/>
      <c r="D460" s="6">
        <v>2023</v>
      </c>
      <c r="E460" s="5"/>
      <c r="F460" s="5"/>
      <c r="G460" s="5"/>
      <c r="H460" s="6" t="str">
        <f t="shared" si="4"/>
        <v xml:space="preserve"># 2023 </v>
      </c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</row>
    <row r="461" spans="1:31" x14ac:dyDescent="0.25">
      <c r="A461" s="12" t="s">
        <v>800</v>
      </c>
      <c r="B461" s="3"/>
      <c r="C461" s="2"/>
      <c r="D461" s="2" t="s">
        <v>345</v>
      </c>
      <c r="E461" s="2" t="s">
        <v>346</v>
      </c>
      <c r="F461" s="1" t="s">
        <v>96</v>
      </c>
      <c r="G461" s="3"/>
      <c r="H461" s="2" t="str">
        <f t="shared" si="4"/>
        <v xml:space="preserve">14.1. Beeswax </v>
      </c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x14ac:dyDescent="0.25">
      <c r="A462" s="7" t="s">
        <v>800</v>
      </c>
      <c r="B462" s="8" t="s">
        <v>1240</v>
      </c>
      <c r="C462" s="8"/>
      <c r="D462" s="8" t="s">
        <v>345</v>
      </c>
      <c r="E462" s="8" t="s">
        <v>346</v>
      </c>
      <c r="F462" s="7" t="s">
        <v>26</v>
      </c>
      <c r="G462" s="9"/>
      <c r="H462" s="8" t="str">
        <f t="shared" si="4"/>
        <v>14.1. Beeswax beeswax_coproduct23</v>
      </c>
      <c r="I462" s="9"/>
      <c r="J462" s="9"/>
      <c r="K462" s="9"/>
      <c r="L462" s="8" t="s">
        <v>124</v>
      </c>
      <c r="M462" s="9"/>
      <c r="N462" s="9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</row>
    <row r="463" spans="1:31" x14ac:dyDescent="0.25">
      <c r="A463" s="7" t="s">
        <v>802</v>
      </c>
      <c r="B463" s="8" t="s">
        <v>1241</v>
      </c>
      <c r="C463" s="8"/>
      <c r="D463" s="8" t="s">
        <v>804</v>
      </c>
      <c r="E463" s="8" t="s">
        <v>805</v>
      </c>
      <c r="F463" s="7" t="s">
        <v>18</v>
      </c>
      <c r="G463" s="7" t="s">
        <v>128</v>
      </c>
      <c r="H463" s="8" t="str">
        <f t="shared" si="4"/>
        <v>14.1.1, Beeswax - Total Cost of Beekeeping Co-Product (Rs.) beeswax_coproduct_totalcost23</v>
      </c>
      <c r="I463" s="9"/>
      <c r="J463" s="9"/>
      <c r="K463" s="8" t="s">
        <v>1242</v>
      </c>
      <c r="L463" s="9"/>
      <c r="M463" s="9"/>
      <c r="N463" s="9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</row>
    <row r="464" spans="1:31" x14ac:dyDescent="0.25">
      <c r="A464" s="7" t="s">
        <v>807</v>
      </c>
      <c r="B464" s="8" t="s">
        <v>1243</v>
      </c>
      <c r="C464" s="8"/>
      <c r="D464" s="8" t="s">
        <v>1126</v>
      </c>
      <c r="E464" s="8" t="s">
        <v>810</v>
      </c>
      <c r="F464" s="7" t="s">
        <v>18</v>
      </c>
      <c r="G464" s="7" t="s">
        <v>128</v>
      </c>
      <c r="H464" s="8" t="str">
        <f t="shared" si="4"/>
        <v>(A) 14.1.1, Beeswax - Total By Product Outcomes beeswax_byproduct_outcomes23</v>
      </c>
      <c r="I464" s="9"/>
      <c r="J464" s="9"/>
      <c r="K464" s="8" t="s">
        <v>1242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</row>
    <row r="465" spans="1:31" x14ac:dyDescent="0.25">
      <c r="A465" s="7" t="s">
        <v>811</v>
      </c>
      <c r="B465" s="8" t="s">
        <v>1244</v>
      </c>
      <c r="C465" s="8"/>
      <c r="D465" s="8" t="s">
        <v>813</v>
      </c>
      <c r="E465" s="8" t="s">
        <v>1245</v>
      </c>
      <c r="F465" s="7" t="s">
        <v>18</v>
      </c>
      <c r="G465" s="7" t="s">
        <v>18</v>
      </c>
      <c r="H465" s="8" t="str">
        <f t="shared" si="4"/>
        <v>14.1.2. If don't sell and use personally then please specify beeswax_personal_use_explanation23</v>
      </c>
      <c r="I465" s="9"/>
      <c r="J465" s="9" t="s">
        <v>1242</v>
      </c>
      <c r="K465" s="8" t="s">
        <v>1242</v>
      </c>
      <c r="L465" s="9"/>
      <c r="M465" s="9"/>
      <c r="N465" s="9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</row>
    <row r="466" spans="1:31" x14ac:dyDescent="0.25">
      <c r="A466" s="7" t="s">
        <v>815</v>
      </c>
      <c r="B466" s="8" t="s">
        <v>1246</v>
      </c>
      <c r="C466" s="8"/>
      <c r="D466" s="8" t="s">
        <v>1130</v>
      </c>
      <c r="E466" s="8" t="s">
        <v>632</v>
      </c>
      <c r="F466" s="7" t="s">
        <v>18</v>
      </c>
      <c r="G466" s="7" t="s">
        <v>128</v>
      </c>
      <c r="H466" s="8" t="str">
        <f t="shared" si="4"/>
        <v>14.1.2, Beeswax - Local Shop - Quantity (Kg) beeswax_local_qty23</v>
      </c>
      <c r="I466" s="9"/>
      <c r="J466" s="9"/>
      <c r="K466" s="8" t="s">
        <v>1242</v>
      </c>
      <c r="L466" s="9"/>
      <c r="M466" s="9"/>
      <c r="N466" s="9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</row>
    <row r="467" spans="1:31" x14ac:dyDescent="0.25">
      <c r="A467" s="7" t="s">
        <v>818</v>
      </c>
      <c r="B467" s="8" t="s">
        <v>1247</v>
      </c>
      <c r="C467" s="8"/>
      <c r="D467" s="8" t="s">
        <v>820</v>
      </c>
      <c r="E467" s="8" t="s">
        <v>636</v>
      </c>
      <c r="F467" s="7" t="s">
        <v>18</v>
      </c>
      <c r="G467" s="7" t="s">
        <v>128</v>
      </c>
      <c r="H467" s="8" t="str">
        <f t="shared" si="4"/>
        <v>14.1.3, Beeswax - Local Shop - Price (Rs/Kg) beeswax_local_price23</v>
      </c>
      <c r="I467" s="9"/>
      <c r="J467" s="9"/>
      <c r="K467" s="8" t="s">
        <v>1242</v>
      </c>
      <c r="L467" s="9"/>
      <c r="M467" s="9"/>
      <c r="N467" s="9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</row>
    <row r="468" spans="1:31" x14ac:dyDescent="0.25">
      <c r="A468" s="7" t="s">
        <v>821</v>
      </c>
      <c r="B468" s="8" t="s">
        <v>1248</v>
      </c>
      <c r="C468" s="8"/>
      <c r="D468" s="8" t="s">
        <v>823</v>
      </c>
      <c r="E468" s="8" t="s">
        <v>640</v>
      </c>
      <c r="F468" s="7" t="s">
        <v>18</v>
      </c>
      <c r="G468" s="7" t="s">
        <v>128</v>
      </c>
      <c r="H468" s="8" t="str">
        <f t="shared" si="4"/>
        <v>14.1.4, Beeswax - Local Shop - Distance to Place of Sale (in KM) beeswax_local_dist23</v>
      </c>
      <c r="I468" s="9"/>
      <c r="J468" s="9"/>
      <c r="K468" s="8" t="s">
        <v>1242</v>
      </c>
      <c r="L468" s="9"/>
      <c r="M468" s="9"/>
      <c r="N468" s="9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</row>
    <row r="469" spans="1:31" x14ac:dyDescent="0.25">
      <c r="A469" s="7" t="s">
        <v>824</v>
      </c>
      <c r="B469" s="8" t="s">
        <v>1249</v>
      </c>
      <c r="C469" s="8"/>
      <c r="D469" s="8" t="s">
        <v>1134</v>
      </c>
      <c r="E469" s="8" t="s">
        <v>644</v>
      </c>
      <c r="F469" s="7" t="s">
        <v>18</v>
      </c>
      <c r="G469" s="7" t="s">
        <v>128</v>
      </c>
      <c r="H469" s="8" t="str">
        <f t="shared" si="4"/>
        <v>14.1.5, Beeswax - Fair/Exhibition - Quantity (Kg) beeswax_fair_qty23</v>
      </c>
      <c r="I469" s="9"/>
      <c r="J469" s="9"/>
      <c r="K469" s="8" t="s">
        <v>1242</v>
      </c>
      <c r="L469" s="9"/>
      <c r="M469" s="9"/>
      <c r="N469" s="9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</row>
    <row r="470" spans="1:31" x14ac:dyDescent="0.25">
      <c r="A470" s="7" t="s">
        <v>827</v>
      </c>
      <c r="B470" s="8" t="s">
        <v>1250</v>
      </c>
      <c r="C470" s="8"/>
      <c r="D470" s="8" t="s">
        <v>829</v>
      </c>
      <c r="E470" s="8" t="s">
        <v>648</v>
      </c>
      <c r="F470" s="7" t="s">
        <v>18</v>
      </c>
      <c r="G470" s="7" t="s">
        <v>128</v>
      </c>
      <c r="H470" s="8" t="str">
        <f t="shared" si="4"/>
        <v>14.1.6, Beeswax - Fair/Exhibition - Price (Rs/Kg) beeswax_fair_price23</v>
      </c>
      <c r="I470" s="9"/>
      <c r="J470" s="9"/>
      <c r="K470" s="8" t="s">
        <v>1242</v>
      </c>
      <c r="L470" s="9"/>
      <c r="M470" s="9"/>
      <c r="N470" s="9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</row>
    <row r="471" spans="1:31" x14ac:dyDescent="0.25">
      <c r="A471" s="7" t="s">
        <v>830</v>
      </c>
      <c r="B471" s="8" t="s">
        <v>1251</v>
      </c>
      <c r="C471" s="8"/>
      <c r="D471" s="8" t="s">
        <v>832</v>
      </c>
      <c r="E471" s="8" t="s">
        <v>640</v>
      </c>
      <c r="F471" s="7" t="s">
        <v>18</v>
      </c>
      <c r="G471" s="7" t="s">
        <v>128</v>
      </c>
      <c r="H471" s="8" t="str">
        <f t="shared" si="4"/>
        <v>14.1.7, Beeswax - Fair/Exhibition - Distance to Place of Sale (in KM) beeswax_fair_dist23</v>
      </c>
      <c r="I471" s="9"/>
      <c r="J471" s="9"/>
      <c r="K471" s="8" t="s">
        <v>1242</v>
      </c>
      <c r="L471" s="9"/>
      <c r="M471" s="9"/>
      <c r="N471" s="9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</row>
    <row r="472" spans="1:31" x14ac:dyDescent="0.25">
      <c r="A472" s="7" t="s">
        <v>833</v>
      </c>
      <c r="B472" s="8" t="s">
        <v>1252</v>
      </c>
      <c r="C472" s="8"/>
      <c r="D472" s="8" t="s">
        <v>1138</v>
      </c>
      <c r="E472" s="8" t="s">
        <v>655</v>
      </c>
      <c r="F472" s="7" t="s">
        <v>337</v>
      </c>
      <c r="G472" s="7" t="s">
        <v>128</v>
      </c>
      <c r="H472" s="8" t="str">
        <f t="shared" si="4"/>
        <v>14.1.8, Beeswax - Consumer - Quantity (Kg) beeswax_consumer_qty23</v>
      </c>
      <c r="I472" s="9"/>
      <c r="J472" s="9"/>
      <c r="K472" s="8" t="s">
        <v>1242</v>
      </c>
      <c r="L472" s="9"/>
      <c r="M472" s="9"/>
      <c r="N472" s="9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</row>
    <row r="473" spans="1:31" x14ac:dyDescent="0.25">
      <c r="A473" s="7" t="s">
        <v>836</v>
      </c>
      <c r="B473" s="8" t="s">
        <v>1253</v>
      </c>
      <c r="C473" s="8"/>
      <c r="D473" s="8" t="s">
        <v>838</v>
      </c>
      <c r="E473" s="8" t="s">
        <v>659</v>
      </c>
      <c r="F473" s="7" t="s">
        <v>337</v>
      </c>
      <c r="G473" s="7" t="s">
        <v>128</v>
      </c>
      <c r="H473" s="8" t="str">
        <f t="shared" si="4"/>
        <v>14.1.9, Beeswax - Consumer - Price (Rs/Kg) beeswax_consumer_price23</v>
      </c>
      <c r="I473" s="9"/>
      <c r="J473" s="9"/>
      <c r="K473" s="8" t="s">
        <v>1242</v>
      </c>
      <c r="L473" s="9"/>
      <c r="M473" s="9"/>
      <c r="N473" s="9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</row>
    <row r="474" spans="1:31" x14ac:dyDescent="0.25">
      <c r="A474" s="7" t="s">
        <v>839</v>
      </c>
      <c r="B474" s="8" t="s">
        <v>1254</v>
      </c>
      <c r="C474" s="8"/>
      <c r="D474" s="8" t="s">
        <v>841</v>
      </c>
      <c r="E474" s="8" t="s">
        <v>640</v>
      </c>
      <c r="F474" s="7" t="s">
        <v>18</v>
      </c>
      <c r="G474" s="7" t="s">
        <v>128</v>
      </c>
      <c r="H474" s="8" t="str">
        <f t="shared" si="4"/>
        <v>14.1.10. Beeswax - Consumer - Distance to Place of Sale (in KM) beeswax_consumer_dist23</v>
      </c>
      <c r="I474" s="9"/>
      <c r="J474" s="9"/>
      <c r="K474" s="8" t="s">
        <v>1242</v>
      </c>
      <c r="L474" s="9"/>
      <c r="M474" s="9"/>
      <c r="N474" s="9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</row>
    <row r="475" spans="1:31" x14ac:dyDescent="0.25">
      <c r="A475" s="7" t="s">
        <v>842</v>
      </c>
      <c r="B475" s="8" t="s">
        <v>1255</v>
      </c>
      <c r="C475" s="8"/>
      <c r="D475" s="8" t="s">
        <v>1142</v>
      </c>
      <c r="E475" s="8" t="s">
        <v>666</v>
      </c>
      <c r="F475" s="7" t="s">
        <v>337</v>
      </c>
      <c r="G475" s="7" t="s">
        <v>128</v>
      </c>
      <c r="H475" s="8" t="str">
        <f t="shared" si="4"/>
        <v>14.1.11. Beeswax - Private Retailer - Quantity (Kg) beeswax_private_qty23</v>
      </c>
      <c r="I475" s="9"/>
      <c r="J475" s="9"/>
      <c r="K475" s="8" t="s">
        <v>1242</v>
      </c>
      <c r="L475" s="9"/>
      <c r="M475" s="9"/>
      <c r="N475" s="9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</row>
    <row r="476" spans="1:31" x14ac:dyDescent="0.25">
      <c r="A476" s="7" t="s">
        <v>845</v>
      </c>
      <c r="B476" s="8" t="s">
        <v>1256</v>
      </c>
      <c r="C476" s="8"/>
      <c r="D476" s="8" t="s">
        <v>847</v>
      </c>
      <c r="E476" s="8" t="s">
        <v>670</v>
      </c>
      <c r="F476" s="7" t="s">
        <v>337</v>
      </c>
      <c r="G476" s="7" t="s">
        <v>128</v>
      </c>
      <c r="H476" s="8" t="str">
        <f t="shared" si="4"/>
        <v>14.1.12. Beeswax - Private Retailer - Price (Rs/Kg) beeswax_private_price23</v>
      </c>
      <c r="I476" s="9"/>
      <c r="J476" s="9"/>
      <c r="K476" s="8" t="s">
        <v>1242</v>
      </c>
      <c r="L476" s="9"/>
      <c r="M476" s="9"/>
      <c r="N476" s="9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</row>
    <row r="477" spans="1:31" x14ac:dyDescent="0.25">
      <c r="A477" s="7" t="s">
        <v>848</v>
      </c>
      <c r="B477" s="8" t="s">
        <v>1257</v>
      </c>
      <c r="C477" s="8"/>
      <c r="D477" s="8" t="s">
        <v>850</v>
      </c>
      <c r="E477" s="8" t="s">
        <v>640</v>
      </c>
      <c r="F477" s="7" t="s">
        <v>18</v>
      </c>
      <c r="G477" s="7" t="s">
        <v>128</v>
      </c>
      <c r="H477" s="8" t="str">
        <f t="shared" si="4"/>
        <v>14.1.13. Beeswax - Private Retailer - Distance to Place of Sale (in KM) beeswax_private_dist23</v>
      </c>
      <c r="I477" s="9"/>
      <c r="J477" s="9"/>
      <c r="K477" s="8" t="s">
        <v>1242</v>
      </c>
      <c r="L477" s="9"/>
      <c r="M477" s="9"/>
      <c r="N477" s="9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</row>
    <row r="478" spans="1:31" x14ac:dyDescent="0.25">
      <c r="A478" s="7" t="s">
        <v>851</v>
      </c>
      <c r="B478" s="8" t="s">
        <v>1258</v>
      </c>
      <c r="C478" s="8"/>
      <c r="D478" s="8" t="s">
        <v>1146</v>
      </c>
      <c r="E478" s="8" t="s">
        <v>677</v>
      </c>
      <c r="F478" s="7" t="s">
        <v>337</v>
      </c>
      <c r="G478" s="7" t="s">
        <v>128</v>
      </c>
      <c r="H478" s="8" t="str">
        <f t="shared" si="4"/>
        <v>14.1.14. Beeswax - Honey Processing - Unit Quantity (Kg) beeswax_honey_qty23</v>
      </c>
      <c r="I478" s="9"/>
      <c r="J478" s="9"/>
      <c r="K478" s="8" t="s">
        <v>1242</v>
      </c>
      <c r="L478" s="9"/>
      <c r="M478" s="9"/>
      <c r="N478" s="9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</row>
    <row r="479" spans="1:31" x14ac:dyDescent="0.25">
      <c r="A479" s="7" t="s">
        <v>854</v>
      </c>
      <c r="B479" s="8" t="s">
        <v>1259</v>
      </c>
      <c r="C479" s="8"/>
      <c r="D479" s="8" t="s">
        <v>856</v>
      </c>
      <c r="E479" s="8" t="s">
        <v>681</v>
      </c>
      <c r="F479" s="7" t="s">
        <v>337</v>
      </c>
      <c r="G479" s="7" t="s">
        <v>128</v>
      </c>
      <c r="H479" s="8" t="str">
        <f t="shared" si="4"/>
        <v>14.1.15. Beeswax - Honey Processing - Unit Price (Rs/Kg) beeswax_honey_price23</v>
      </c>
      <c r="I479" s="9"/>
      <c r="J479" s="9"/>
      <c r="K479" s="8" t="s">
        <v>1242</v>
      </c>
      <c r="L479" s="9"/>
      <c r="M479" s="9"/>
      <c r="N479" s="9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</row>
    <row r="480" spans="1:31" x14ac:dyDescent="0.25">
      <c r="A480" s="7" t="s">
        <v>857</v>
      </c>
      <c r="B480" s="8" t="s">
        <v>1260</v>
      </c>
      <c r="C480" s="8"/>
      <c r="D480" s="8" t="s">
        <v>859</v>
      </c>
      <c r="E480" s="8" t="s">
        <v>640</v>
      </c>
      <c r="F480" s="7" t="s">
        <v>18</v>
      </c>
      <c r="G480" s="7" t="s">
        <v>128</v>
      </c>
      <c r="H480" s="8" t="str">
        <f t="shared" si="4"/>
        <v>14.1.16. Beeswax - Honey Processing - Distance to Place of Sale (in KM) beeswax_honey_dist23</v>
      </c>
      <c r="I480" s="9"/>
      <c r="J480" s="9"/>
      <c r="K480" s="8" t="s">
        <v>1242</v>
      </c>
      <c r="L480" s="9"/>
      <c r="M480" s="9"/>
      <c r="N480" s="9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</row>
    <row r="481" spans="1:31" x14ac:dyDescent="0.25">
      <c r="A481" s="7" t="s">
        <v>860</v>
      </c>
      <c r="B481" s="8" t="s">
        <v>1261</v>
      </c>
      <c r="C481" s="8"/>
      <c r="D481" s="8" t="s">
        <v>862</v>
      </c>
      <c r="E481" s="8" t="s">
        <v>688</v>
      </c>
      <c r="F481" s="7" t="s">
        <v>26</v>
      </c>
      <c r="G481" s="9"/>
      <c r="H481" s="8" t="str">
        <f t="shared" si="4"/>
        <v>14.1.17. Beeswax - Honey Processing Unit Name beeswax_honey_unitname23</v>
      </c>
      <c r="I481" s="9"/>
      <c r="J481" s="9"/>
      <c r="K481" s="8" t="s">
        <v>1242</v>
      </c>
      <c r="L481" s="8" t="s">
        <v>863</v>
      </c>
      <c r="M481" s="8" t="s">
        <v>690</v>
      </c>
      <c r="N481" s="9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</row>
    <row r="482" spans="1:31" x14ac:dyDescent="0.25">
      <c r="A482" s="7" t="s">
        <v>864</v>
      </c>
      <c r="B482" s="8" t="s">
        <v>1262</v>
      </c>
      <c r="C482" s="8"/>
      <c r="D482" s="8" t="s">
        <v>866</v>
      </c>
      <c r="E482" s="8" t="s">
        <v>694</v>
      </c>
      <c r="F482" s="7" t="s">
        <v>26</v>
      </c>
      <c r="G482" s="9"/>
      <c r="H482" s="8" t="str">
        <f t="shared" si="4"/>
        <v>14.1.18. Beeswax - Honey Processing Unit Name - Other beeswax_honey_unitname23_other</v>
      </c>
      <c r="I482" s="9"/>
      <c r="J482" s="9"/>
      <c r="K482" s="8" t="s">
        <v>1263</v>
      </c>
      <c r="L482" s="9"/>
      <c r="M482" s="8" t="s">
        <v>690</v>
      </c>
      <c r="N482" s="9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</row>
    <row r="483" spans="1:31" x14ac:dyDescent="0.25">
      <c r="A483" s="12" t="s">
        <v>868</v>
      </c>
      <c r="B483" s="3"/>
      <c r="C483" s="2"/>
      <c r="D483" s="2" t="s">
        <v>356</v>
      </c>
      <c r="E483" s="2" t="s">
        <v>869</v>
      </c>
      <c r="F483" s="1" t="s">
        <v>84</v>
      </c>
      <c r="G483" s="3"/>
      <c r="H483" s="2" t="str">
        <f t="shared" si="4"/>
        <v xml:space="preserve">14.2. Pollen </v>
      </c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x14ac:dyDescent="0.25">
      <c r="A484" s="7" t="s">
        <v>868</v>
      </c>
      <c r="B484" s="8" t="s">
        <v>1264</v>
      </c>
      <c r="C484" s="8"/>
      <c r="D484" s="8" t="s">
        <v>356</v>
      </c>
      <c r="E484" s="8" t="s">
        <v>869</v>
      </c>
      <c r="F484" s="7" t="s">
        <v>26</v>
      </c>
      <c r="G484" s="9"/>
      <c r="H484" s="8" t="str">
        <f t="shared" si="4"/>
        <v>14.2. Pollen pollen_coproduct23</v>
      </c>
      <c r="I484" s="9"/>
      <c r="J484" s="9"/>
      <c r="K484" s="9"/>
      <c r="L484" s="8" t="s">
        <v>124</v>
      </c>
      <c r="M484" s="9"/>
      <c r="N484" s="9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</row>
    <row r="485" spans="1:31" x14ac:dyDescent="0.25">
      <c r="A485" s="7" t="s">
        <v>871</v>
      </c>
      <c r="B485" s="8" t="s">
        <v>1265</v>
      </c>
      <c r="C485" s="8"/>
      <c r="D485" s="8" t="s">
        <v>873</v>
      </c>
      <c r="E485" s="8" t="s">
        <v>874</v>
      </c>
      <c r="F485" s="7" t="s">
        <v>18</v>
      </c>
      <c r="G485" s="7" t="s">
        <v>128</v>
      </c>
      <c r="H485" s="8" t="str">
        <f t="shared" si="4"/>
        <v>14.2.1. Pollen - Total Cost of Beekeeping Co-Product (Rs.) pollen_coproduct_totalcost23</v>
      </c>
      <c r="I485" s="9"/>
      <c r="J485" s="9"/>
      <c r="K485" s="8" t="s">
        <v>1266</v>
      </c>
      <c r="L485" s="9"/>
      <c r="M485" s="9"/>
      <c r="N485" s="9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</row>
    <row r="486" spans="1:31" x14ac:dyDescent="0.25">
      <c r="A486" s="7" t="s">
        <v>876</v>
      </c>
      <c r="B486" s="8" t="s">
        <v>1267</v>
      </c>
      <c r="C486" s="8"/>
      <c r="D486" s="8" t="s">
        <v>878</v>
      </c>
      <c r="E486" s="8" t="s">
        <v>879</v>
      </c>
      <c r="F486" s="7" t="s">
        <v>18</v>
      </c>
      <c r="G486" s="7" t="s">
        <v>128</v>
      </c>
      <c r="H486" s="8" t="str">
        <f t="shared" si="4"/>
        <v>(A) 14.2.1, Pollen - Total By Product Outcomes pollen_byproduct_outcomes23</v>
      </c>
      <c r="I486" s="9"/>
      <c r="J486" s="9"/>
      <c r="K486" s="8" t="s">
        <v>1266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</row>
    <row r="487" spans="1:31" x14ac:dyDescent="0.25">
      <c r="A487" s="7" t="s">
        <v>880</v>
      </c>
      <c r="B487" s="8" t="s">
        <v>1268</v>
      </c>
      <c r="C487" s="8"/>
      <c r="D487" s="8" t="s">
        <v>882</v>
      </c>
      <c r="E487" s="8" t="s">
        <v>632</v>
      </c>
      <c r="F487" s="7" t="s">
        <v>18</v>
      </c>
      <c r="G487" s="7" t="s">
        <v>128</v>
      </c>
      <c r="H487" s="8" t="str">
        <f t="shared" si="4"/>
        <v>14.2.2. Pollen - Local Shop - Quantity (Kg) pollen_local_qty23</v>
      </c>
      <c r="I487" s="9"/>
      <c r="J487" s="9"/>
      <c r="K487" s="8" t="s">
        <v>1266</v>
      </c>
      <c r="L487" s="9"/>
      <c r="M487" s="9"/>
      <c r="N487" s="9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</row>
    <row r="488" spans="1:31" x14ac:dyDescent="0.25">
      <c r="A488" s="7" t="s">
        <v>883</v>
      </c>
      <c r="B488" s="8" t="s">
        <v>1269</v>
      </c>
      <c r="C488" s="8"/>
      <c r="D488" s="8" t="s">
        <v>885</v>
      </c>
      <c r="E488" s="8" t="s">
        <v>636</v>
      </c>
      <c r="F488" s="7" t="s">
        <v>18</v>
      </c>
      <c r="G488" s="7" t="s">
        <v>128</v>
      </c>
      <c r="H488" s="8" t="str">
        <f t="shared" si="4"/>
        <v>14.2.3. Pollen - Local Shop - Price (Rs/Kg) pollen_local_price23</v>
      </c>
      <c r="I488" s="9"/>
      <c r="J488" s="9"/>
      <c r="K488" s="8" t="s">
        <v>1266</v>
      </c>
      <c r="L488" s="9"/>
      <c r="M488" s="9"/>
      <c r="N488" s="9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</row>
    <row r="489" spans="1:31" x14ac:dyDescent="0.25">
      <c r="A489" s="7" t="s">
        <v>886</v>
      </c>
      <c r="B489" s="8" t="s">
        <v>1270</v>
      </c>
      <c r="C489" s="8"/>
      <c r="D489" s="8" t="s">
        <v>888</v>
      </c>
      <c r="E489" s="8" t="s">
        <v>640</v>
      </c>
      <c r="F489" s="7" t="s">
        <v>18</v>
      </c>
      <c r="G489" s="7" t="s">
        <v>128</v>
      </c>
      <c r="H489" s="8" t="str">
        <f t="shared" si="4"/>
        <v>14.2.4. Pollen - Local Shop - Distance to Place of Sale (in KM) pollen_local_dist23</v>
      </c>
      <c r="I489" s="9"/>
      <c r="J489" s="9"/>
      <c r="K489" s="8" t="s">
        <v>1266</v>
      </c>
      <c r="L489" s="9"/>
      <c r="M489" s="9"/>
      <c r="N489" s="9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</row>
    <row r="490" spans="1:31" x14ac:dyDescent="0.25">
      <c r="A490" s="7" t="s">
        <v>889</v>
      </c>
      <c r="B490" s="8" t="s">
        <v>1271</v>
      </c>
      <c r="C490" s="8"/>
      <c r="D490" s="8" t="s">
        <v>891</v>
      </c>
      <c r="E490" s="8" t="s">
        <v>644</v>
      </c>
      <c r="F490" s="7" t="s">
        <v>18</v>
      </c>
      <c r="G490" s="7" t="s">
        <v>128</v>
      </c>
      <c r="H490" s="8" t="str">
        <f t="shared" si="4"/>
        <v>14.2.5. Pollen - Fair/Exhibition - Quantity (Kg) pollen_fair_qty23</v>
      </c>
      <c r="I490" s="9"/>
      <c r="J490" s="9"/>
      <c r="K490" s="8" t="s">
        <v>1266</v>
      </c>
      <c r="L490" s="9"/>
      <c r="M490" s="9"/>
      <c r="N490" s="9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</row>
    <row r="491" spans="1:31" x14ac:dyDescent="0.25">
      <c r="A491" s="7" t="s">
        <v>892</v>
      </c>
      <c r="B491" s="8" t="s">
        <v>1272</v>
      </c>
      <c r="C491" s="8"/>
      <c r="D491" s="8" t="s">
        <v>894</v>
      </c>
      <c r="E491" s="8" t="s">
        <v>648</v>
      </c>
      <c r="F491" s="7" t="s">
        <v>18</v>
      </c>
      <c r="G491" s="7" t="s">
        <v>128</v>
      </c>
      <c r="H491" s="8" t="str">
        <f t="shared" si="4"/>
        <v>14.2.6. Pollen - Fair/Exhibition - Price (Rs/Kg) pollen_fair_price23</v>
      </c>
      <c r="I491" s="9"/>
      <c r="J491" s="9"/>
      <c r="K491" s="8" t="s">
        <v>1266</v>
      </c>
      <c r="L491" s="9"/>
      <c r="M491" s="9"/>
      <c r="N491" s="9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</row>
    <row r="492" spans="1:31" x14ac:dyDescent="0.25">
      <c r="A492" s="7" t="s">
        <v>895</v>
      </c>
      <c r="B492" s="8" t="s">
        <v>1273</v>
      </c>
      <c r="C492" s="8"/>
      <c r="D492" s="8" t="s">
        <v>897</v>
      </c>
      <c r="E492" s="8" t="s">
        <v>640</v>
      </c>
      <c r="F492" s="7" t="s">
        <v>18</v>
      </c>
      <c r="G492" s="7" t="s">
        <v>128</v>
      </c>
      <c r="H492" s="8" t="str">
        <f t="shared" si="4"/>
        <v>14.2.7. Pollen - Fair/Exhibition - Distance to Place of Sale (in KM) pollen_fair_dist23</v>
      </c>
      <c r="I492" s="9"/>
      <c r="J492" s="9"/>
      <c r="K492" s="8" t="s">
        <v>1266</v>
      </c>
      <c r="L492" s="9"/>
      <c r="M492" s="9"/>
      <c r="N492" s="9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</row>
    <row r="493" spans="1:31" x14ac:dyDescent="0.25">
      <c r="A493" s="7" t="s">
        <v>898</v>
      </c>
      <c r="B493" s="8" t="s">
        <v>1274</v>
      </c>
      <c r="C493" s="8"/>
      <c r="D493" s="8" t="s">
        <v>900</v>
      </c>
      <c r="E493" s="8" t="s">
        <v>655</v>
      </c>
      <c r="F493" s="7" t="s">
        <v>337</v>
      </c>
      <c r="G493" s="7" t="s">
        <v>128</v>
      </c>
      <c r="H493" s="8" t="str">
        <f t="shared" si="4"/>
        <v>14.2.8. Pollen - Consumer - Quantity (Kg) pollen_consumer_qty23</v>
      </c>
      <c r="I493" s="9"/>
      <c r="J493" s="9"/>
      <c r="K493" s="8" t="s">
        <v>1266</v>
      </c>
      <c r="L493" s="9"/>
      <c r="M493" s="9"/>
      <c r="N493" s="9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</row>
    <row r="494" spans="1:31" x14ac:dyDescent="0.25">
      <c r="A494" s="7" t="s">
        <v>901</v>
      </c>
      <c r="B494" s="8" t="s">
        <v>1275</v>
      </c>
      <c r="C494" s="8"/>
      <c r="D494" s="8" t="s">
        <v>903</v>
      </c>
      <c r="E494" s="8" t="s">
        <v>659</v>
      </c>
      <c r="F494" s="7" t="s">
        <v>337</v>
      </c>
      <c r="G494" s="7" t="s">
        <v>128</v>
      </c>
      <c r="H494" s="8" t="str">
        <f t="shared" si="4"/>
        <v>14.2.9. Pollen - Consumer - Price (Rs/Kg) pollen_consumer_price23</v>
      </c>
      <c r="I494" s="9"/>
      <c r="J494" s="9"/>
      <c r="K494" s="8" t="s">
        <v>1266</v>
      </c>
      <c r="L494" s="9"/>
      <c r="M494" s="9"/>
      <c r="N494" s="9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</row>
    <row r="495" spans="1:31" x14ac:dyDescent="0.25">
      <c r="A495" s="7" t="s">
        <v>904</v>
      </c>
      <c r="B495" s="8" t="s">
        <v>1276</v>
      </c>
      <c r="C495" s="8"/>
      <c r="D495" s="8" t="s">
        <v>906</v>
      </c>
      <c r="E495" s="8" t="s">
        <v>640</v>
      </c>
      <c r="F495" s="7" t="s">
        <v>18</v>
      </c>
      <c r="G495" s="7" t="s">
        <v>128</v>
      </c>
      <c r="H495" s="8" t="str">
        <f t="shared" si="4"/>
        <v>14.2.10. Pollen - Consumer - Distance to Place of Sale (in KM) pollen_consumer_dist23</v>
      </c>
      <c r="I495" s="9"/>
      <c r="J495" s="9"/>
      <c r="K495" s="8" t="s">
        <v>1266</v>
      </c>
      <c r="L495" s="9"/>
      <c r="M495" s="9"/>
      <c r="N495" s="9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</row>
    <row r="496" spans="1:31" x14ac:dyDescent="0.25">
      <c r="A496" s="7" t="s">
        <v>907</v>
      </c>
      <c r="B496" s="8" t="s">
        <v>1277</v>
      </c>
      <c r="C496" s="8"/>
      <c r="D496" s="8" t="s">
        <v>909</v>
      </c>
      <c r="E496" s="8" t="s">
        <v>666</v>
      </c>
      <c r="F496" s="7" t="s">
        <v>337</v>
      </c>
      <c r="G496" s="7" t="s">
        <v>128</v>
      </c>
      <c r="H496" s="8" t="str">
        <f t="shared" si="4"/>
        <v>14.2.11. Pollen - Private Retailer - Quantity (Kg) pollen_private_qty23</v>
      </c>
      <c r="I496" s="9"/>
      <c r="J496" s="9"/>
      <c r="K496" s="8" t="s">
        <v>1266</v>
      </c>
      <c r="L496" s="9"/>
      <c r="M496" s="9"/>
      <c r="N496" s="9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</row>
    <row r="497" spans="1:31" x14ac:dyDescent="0.25">
      <c r="A497" s="7" t="s">
        <v>910</v>
      </c>
      <c r="B497" s="8" t="s">
        <v>1278</v>
      </c>
      <c r="C497" s="8"/>
      <c r="D497" s="8" t="s">
        <v>912</v>
      </c>
      <c r="E497" s="8" t="s">
        <v>670</v>
      </c>
      <c r="F497" s="7" t="s">
        <v>337</v>
      </c>
      <c r="G497" s="7" t="s">
        <v>128</v>
      </c>
      <c r="H497" s="8" t="str">
        <f t="shared" si="4"/>
        <v>14.2.12. Pollen - Private Retailer - Price (Rs/Kg) pollen_private_price23</v>
      </c>
      <c r="I497" s="9"/>
      <c r="J497" s="9"/>
      <c r="K497" s="8" t="s">
        <v>1266</v>
      </c>
      <c r="L497" s="9"/>
      <c r="M497" s="9"/>
      <c r="N497" s="9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</row>
    <row r="498" spans="1:31" x14ac:dyDescent="0.25">
      <c r="A498" s="7" t="s">
        <v>913</v>
      </c>
      <c r="B498" s="8" t="s">
        <v>1279</v>
      </c>
      <c r="C498" s="8"/>
      <c r="D498" s="8" t="s">
        <v>915</v>
      </c>
      <c r="E498" s="8" t="s">
        <v>640</v>
      </c>
      <c r="F498" s="7" t="s">
        <v>18</v>
      </c>
      <c r="G498" s="7" t="s">
        <v>128</v>
      </c>
      <c r="H498" s="8" t="str">
        <f t="shared" si="4"/>
        <v>14.2.13. Pollen - Private Retailer - Distance to Place of Sale (in KM) pollen_private_dist23</v>
      </c>
      <c r="I498" s="9"/>
      <c r="J498" s="9"/>
      <c r="K498" s="8" t="s">
        <v>1266</v>
      </c>
      <c r="L498" s="9"/>
      <c r="M498" s="9"/>
      <c r="N498" s="9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</row>
    <row r="499" spans="1:31" x14ac:dyDescent="0.25">
      <c r="A499" s="7" t="s">
        <v>916</v>
      </c>
      <c r="B499" s="8" t="s">
        <v>1280</v>
      </c>
      <c r="C499" s="8"/>
      <c r="D499" s="8" t="s">
        <v>918</v>
      </c>
      <c r="E499" s="8" t="s">
        <v>677</v>
      </c>
      <c r="F499" s="7" t="s">
        <v>337</v>
      </c>
      <c r="G499" s="7" t="s">
        <v>128</v>
      </c>
      <c r="H499" s="8" t="str">
        <f t="shared" si="4"/>
        <v>14.2.14. Pollen - Honey Processing - Unit Quantity (Kg) pollen_honey_qty23</v>
      </c>
      <c r="I499" s="9"/>
      <c r="J499" s="9"/>
      <c r="K499" s="8" t="s">
        <v>1266</v>
      </c>
      <c r="L499" s="9"/>
      <c r="M499" s="9"/>
      <c r="N499" s="9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</row>
    <row r="500" spans="1:31" x14ac:dyDescent="0.25">
      <c r="A500" s="7" t="s">
        <v>919</v>
      </c>
      <c r="B500" s="8" t="s">
        <v>1281</v>
      </c>
      <c r="C500" s="8"/>
      <c r="D500" s="8" t="s">
        <v>921</v>
      </c>
      <c r="E500" s="8" t="s">
        <v>681</v>
      </c>
      <c r="F500" s="7" t="s">
        <v>337</v>
      </c>
      <c r="G500" s="7" t="s">
        <v>128</v>
      </c>
      <c r="H500" s="8" t="str">
        <f t="shared" si="4"/>
        <v>14.2.15. Pollen - Honey Processing - Unit Price (Rs/Kg) pollen_honey_price23</v>
      </c>
      <c r="I500" s="9"/>
      <c r="J500" s="9"/>
      <c r="K500" s="8" t="s">
        <v>1266</v>
      </c>
      <c r="L500" s="9"/>
      <c r="M500" s="9"/>
      <c r="N500" s="9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</row>
    <row r="501" spans="1:31" x14ac:dyDescent="0.25">
      <c r="A501" s="7" t="s">
        <v>922</v>
      </c>
      <c r="B501" s="8" t="s">
        <v>1282</v>
      </c>
      <c r="C501" s="8"/>
      <c r="D501" s="8" t="s">
        <v>924</v>
      </c>
      <c r="E501" s="8" t="s">
        <v>640</v>
      </c>
      <c r="F501" s="7" t="s">
        <v>18</v>
      </c>
      <c r="G501" s="7" t="s">
        <v>128</v>
      </c>
      <c r="H501" s="8" t="str">
        <f t="shared" si="4"/>
        <v>14.2.16. Pollen - Honey Processing - Distance to Place of Sale (in KM) pollen_honey_dist23</v>
      </c>
      <c r="I501" s="9"/>
      <c r="J501" s="9"/>
      <c r="K501" s="8" t="s">
        <v>1266</v>
      </c>
      <c r="L501" s="9"/>
      <c r="M501" s="9"/>
      <c r="N501" s="9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</row>
    <row r="502" spans="1:31" x14ac:dyDescent="0.25">
      <c r="A502" s="7" t="s">
        <v>925</v>
      </c>
      <c r="B502" s="8" t="s">
        <v>1283</v>
      </c>
      <c r="C502" s="8"/>
      <c r="D502" s="8" t="s">
        <v>927</v>
      </c>
      <c r="E502" s="8" t="s">
        <v>688</v>
      </c>
      <c r="F502" s="7" t="s">
        <v>26</v>
      </c>
      <c r="G502" s="9"/>
      <c r="H502" s="8" t="str">
        <f t="shared" si="4"/>
        <v>14.2.17. Pollen - Honey Processing Unit Name pollen_honey_unitname23</v>
      </c>
      <c r="I502" s="9"/>
      <c r="J502" s="9"/>
      <c r="K502" s="8" t="s">
        <v>1266</v>
      </c>
      <c r="L502" s="8" t="s">
        <v>863</v>
      </c>
      <c r="M502" s="9"/>
      <c r="N502" s="9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</row>
    <row r="503" spans="1:31" x14ac:dyDescent="0.25">
      <c r="A503" s="7" t="s">
        <v>928</v>
      </c>
      <c r="B503" s="8" t="s">
        <v>1284</v>
      </c>
      <c r="C503" s="8"/>
      <c r="D503" s="8" t="s">
        <v>930</v>
      </c>
      <c r="E503" s="8" t="s">
        <v>694</v>
      </c>
      <c r="F503" s="7" t="s">
        <v>18</v>
      </c>
      <c r="G503" s="9"/>
      <c r="H503" s="8" t="str">
        <f t="shared" si="4"/>
        <v>14.2.18. Pollen - Honey Processing Unit Name - Other pollen_honey_unitname23_other</v>
      </c>
      <c r="I503" s="9"/>
      <c r="J503" s="9"/>
      <c r="K503" s="8" t="s">
        <v>1285</v>
      </c>
      <c r="L503" s="9"/>
      <c r="M503" s="9"/>
      <c r="N503" s="9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</row>
    <row r="504" spans="1:31" x14ac:dyDescent="0.25">
      <c r="A504" s="12" t="s">
        <v>932</v>
      </c>
      <c r="B504" s="3"/>
      <c r="C504" s="27"/>
      <c r="D504" s="28" t="s">
        <v>367</v>
      </c>
      <c r="E504" s="27" t="s">
        <v>368</v>
      </c>
      <c r="F504" s="3"/>
      <c r="G504" s="3"/>
      <c r="H504" s="2" t="str">
        <f t="shared" si="4"/>
        <v xml:space="preserve">14.3. Royal Jelly </v>
      </c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x14ac:dyDescent="0.25">
      <c r="A505" s="7" t="s">
        <v>932</v>
      </c>
      <c r="B505" s="8" t="s">
        <v>1286</v>
      </c>
      <c r="C505" s="8"/>
      <c r="D505" s="8" t="s">
        <v>367</v>
      </c>
      <c r="E505" s="8" t="s">
        <v>368</v>
      </c>
      <c r="F505" s="7" t="s">
        <v>26</v>
      </c>
      <c r="G505" s="9"/>
      <c r="H505" s="8" t="str">
        <f t="shared" si="4"/>
        <v>14.3. Royal Jelly royal_coproduct23</v>
      </c>
      <c r="I505" s="9"/>
      <c r="J505" s="9"/>
      <c r="K505" s="9"/>
      <c r="L505" s="8" t="s">
        <v>124</v>
      </c>
      <c r="M505" s="9"/>
      <c r="N505" s="9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</row>
    <row r="506" spans="1:31" x14ac:dyDescent="0.25">
      <c r="A506" s="7" t="s">
        <v>934</v>
      </c>
      <c r="B506" s="8" t="s">
        <v>1287</v>
      </c>
      <c r="C506" s="8"/>
      <c r="D506" s="8" t="s">
        <v>936</v>
      </c>
      <c r="E506" s="8" t="s">
        <v>937</v>
      </c>
      <c r="F506" s="7" t="s">
        <v>18</v>
      </c>
      <c r="G506" s="7" t="s">
        <v>128</v>
      </c>
      <c r="H506" s="8" t="str">
        <f t="shared" si="4"/>
        <v>14.3.1. Royal Jelly - Total Cost of Beekeeping Co-Product (Rs.) royal_coproduct_totalcost23</v>
      </c>
      <c r="I506" s="9"/>
      <c r="J506" s="9"/>
      <c r="K506" s="8" t="s">
        <v>1288</v>
      </c>
      <c r="L506" s="9"/>
      <c r="M506" s="9"/>
      <c r="N506" s="9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</row>
    <row r="507" spans="1:31" x14ac:dyDescent="0.25">
      <c r="A507" s="7" t="s">
        <v>939</v>
      </c>
      <c r="B507" s="8" t="s">
        <v>1289</v>
      </c>
      <c r="C507" s="8"/>
      <c r="D507" s="8" t="s">
        <v>941</v>
      </c>
      <c r="E507" s="8" t="s">
        <v>942</v>
      </c>
      <c r="F507" s="7" t="s">
        <v>18</v>
      </c>
      <c r="G507" s="7" t="s">
        <v>128</v>
      </c>
      <c r="H507" s="8" t="str">
        <f t="shared" si="4"/>
        <v>(A) 14.3.1, Royal Jelly - Total By Product Outcomes royal_byproduct_outcomes23</v>
      </c>
      <c r="I507" s="9"/>
      <c r="J507" s="9"/>
      <c r="K507" s="8" t="s">
        <v>1288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</row>
    <row r="508" spans="1:31" x14ac:dyDescent="0.25">
      <c r="A508" s="7" t="s">
        <v>943</v>
      </c>
      <c r="B508" s="8" t="s">
        <v>1290</v>
      </c>
      <c r="C508" s="8"/>
      <c r="D508" s="8" t="s">
        <v>945</v>
      </c>
      <c r="E508" s="8" t="s">
        <v>632</v>
      </c>
      <c r="F508" s="7" t="s">
        <v>18</v>
      </c>
      <c r="G508" s="7" t="s">
        <v>128</v>
      </c>
      <c r="H508" s="8" t="str">
        <f t="shared" si="4"/>
        <v>14.3.2. Royal Jelly - Local Shop - Quantity (Kg) royal_local_qty23</v>
      </c>
      <c r="I508" s="9"/>
      <c r="J508" s="9"/>
      <c r="K508" s="8" t="s">
        <v>1288</v>
      </c>
      <c r="L508" s="9"/>
      <c r="M508" s="9"/>
      <c r="N508" s="9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</row>
    <row r="509" spans="1:31" x14ac:dyDescent="0.25">
      <c r="A509" s="7" t="s">
        <v>946</v>
      </c>
      <c r="B509" s="8" t="s">
        <v>1291</v>
      </c>
      <c r="C509" s="8"/>
      <c r="D509" s="8" t="s">
        <v>948</v>
      </c>
      <c r="E509" s="8" t="s">
        <v>636</v>
      </c>
      <c r="F509" s="7" t="s">
        <v>18</v>
      </c>
      <c r="G509" s="7" t="s">
        <v>128</v>
      </c>
      <c r="H509" s="8" t="str">
        <f t="shared" si="4"/>
        <v>14.3.3. Royal Jelly - Local Shop - Price (Rs/Kg) royal_local_price23</v>
      </c>
      <c r="I509" s="9"/>
      <c r="J509" s="9"/>
      <c r="K509" s="8" t="s">
        <v>1288</v>
      </c>
      <c r="L509" s="9"/>
      <c r="M509" s="9"/>
      <c r="N509" s="9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</row>
    <row r="510" spans="1:31" x14ac:dyDescent="0.25">
      <c r="A510" s="7" t="s">
        <v>949</v>
      </c>
      <c r="B510" s="8" t="s">
        <v>1292</v>
      </c>
      <c r="C510" s="8"/>
      <c r="D510" s="8" t="s">
        <v>951</v>
      </c>
      <c r="E510" s="8" t="s">
        <v>640</v>
      </c>
      <c r="F510" s="7" t="s">
        <v>18</v>
      </c>
      <c r="G510" s="7" t="s">
        <v>128</v>
      </c>
      <c r="H510" s="8" t="str">
        <f t="shared" si="4"/>
        <v>14.3.4. Royal Jelly - Local Shop - Distance to Place of Sale (in KM) royal_local_dist23</v>
      </c>
      <c r="I510" s="9"/>
      <c r="J510" s="9"/>
      <c r="K510" s="8" t="s">
        <v>1288</v>
      </c>
      <c r="L510" s="9"/>
      <c r="M510" s="9"/>
      <c r="N510" s="9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</row>
    <row r="511" spans="1:31" x14ac:dyDescent="0.25">
      <c r="A511" s="7" t="s">
        <v>952</v>
      </c>
      <c r="B511" s="8" t="s">
        <v>1293</v>
      </c>
      <c r="C511" s="8"/>
      <c r="D511" s="8" t="s">
        <v>954</v>
      </c>
      <c r="E511" s="8" t="s">
        <v>644</v>
      </c>
      <c r="F511" s="7" t="s">
        <v>18</v>
      </c>
      <c r="G511" s="7" t="s">
        <v>128</v>
      </c>
      <c r="H511" s="8" t="str">
        <f t="shared" si="4"/>
        <v>14.3.5. Royal Jelly - Fair/Exhibition - Quantity (Kg) royal_fair_qty23</v>
      </c>
      <c r="I511" s="9"/>
      <c r="J511" s="9"/>
      <c r="K511" s="8" t="s">
        <v>1288</v>
      </c>
      <c r="L511" s="9"/>
      <c r="M511" s="9"/>
      <c r="N511" s="9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</row>
    <row r="512" spans="1:31" x14ac:dyDescent="0.25">
      <c r="A512" s="7" t="s">
        <v>955</v>
      </c>
      <c r="B512" s="8" t="s">
        <v>1294</v>
      </c>
      <c r="C512" s="8"/>
      <c r="D512" s="8" t="s">
        <v>957</v>
      </c>
      <c r="E512" s="8" t="s">
        <v>648</v>
      </c>
      <c r="F512" s="7" t="s">
        <v>18</v>
      </c>
      <c r="G512" s="7" t="s">
        <v>128</v>
      </c>
      <c r="H512" s="8" t="str">
        <f t="shared" si="4"/>
        <v>14.3.6. Royal Jelly - Fair/Exhibition - Price (Rs/Kg) royal_fair_price23</v>
      </c>
      <c r="I512" s="9"/>
      <c r="J512" s="9"/>
      <c r="K512" s="8" t="s">
        <v>1288</v>
      </c>
      <c r="L512" s="9"/>
      <c r="M512" s="9"/>
      <c r="N512" s="9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</row>
    <row r="513" spans="1:31" x14ac:dyDescent="0.25">
      <c r="A513" s="7" t="s">
        <v>958</v>
      </c>
      <c r="B513" s="8" t="s">
        <v>1295</v>
      </c>
      <c r="C513" s="8"/>
      <c r="D513" s="8" t="s">
        <v>960</v>
      </c>
      <c r="E513" s="8" t="s">
        <v>640</v>
      </c>
      <c r="F513" s="7" t="s">
        <v>18</v>
      </c>
      <c r="G513" s="7" t="s">
        <v>128</v>
      </c>
      <c r="H513" s="8" t="str">
        <f t="shared" si="4"/>
        <v>14.3.7. Royal Jelly - Fair/Exhibition - Distance to Place of Sale (in KM) royal_fair_dist23</v>
      </c>
      <c r="I513" s="9"/>
      <c r="J513" s="9"/>
      <c r="K513" s="8" t="s">
        <v>1288</v>
      </c>
      <c r="L513" s="9"/>
      <c r="M513" s="9"/>
      <c r="N513" s="9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</row>
    <row r="514" spans="1:31" x14ac:dyDescent="0.25">
      <c r="A514" s="7" t="s">
        <v>961</v>
      </c>
      <c r="B514" s="8" t="s">
        <v>1296</v>
      </c>
      <c r="C514" s="8"/>
      <c r="D514" s="8" t="s">
        <v>963</v>
      </c>
      <c r="E514" s="8" t="s">
        <v>655</v>
      </c>
      <c r="F514" s="7" t="s">
        <v>337</v>
      </c>
      <c r="G514" s="7" t="s">
        <v>128</v>
      </c>
      <c r="H514" s="8" t="str">
        <f t="shared" si="4"/>
        <v>14.3.8. Royal Jelly - Consumer - Quantity (Kg) royal_consumer_qty23</v>
      </c>
      <c r="I514" s="9"/>
      <c r="J514" s="9"/>
      <c r="K514" s="8" t="s">
        <v>1288</v>
      </c>
      <c r="L514" s="9"/>
      <c r="M514" s="9"/>
      <c r="N514" s="9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</row>
    <row r="515" spans="1:31" x14ac:dyDescent="0.25">
      <c r="A515" s="7" t="s">
        <v>964</v>
      </c>
      <c r="B515" s="8" t="s">
        <v>1297</v>
      </c>
      <c r="C515" s="8"/>
      <c r="D515" s="8" t="s">
        <v>966</v>
      </c>
      <c r="E515" s="8" t="s">
        <v>659</v>
      </c>
      <c r="F515" s="7" t="s">
        <v>337</v>
      </c>
      <c r="G515" s="7" t="s">
        <v>128</v>
      </c>
      <c r="H515" s="8" t="str">
        <f t="shared" si="4"/>
        <v>14.3.9. Royal Jelly - Consumer - Price (Rs/Kg) royal_consumer_price23</v>
      </c>
      <c r="I515" s="9"/>
      <c r="J515" s="9"/>
      <c r="K515" s="8" t="s">
        <v>1288</v>
      </c>
      <c r="L515" s="9"/>
      <c r="M515" s="9"/>
      <c r="N515" s="9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</row>
    <row r="516" spans="1:31" x14ac:dyDescent="0.25">
      <c r="A516" s="7" t="s">
        <v>967</v>
      </c>
      <c r="B516" s="8" t="s">
        <v>1298</v>
      </c>
      <c r="C516" s="8"/>
      <c r="D516" s="8" t="s">
        <v>969</v>
      </c>
      <c r="E516" s="8" t="s">
        <v>640</v>
      </c>
      <c r="F516" s="7" t="s">
        <v>18</v>
      </c>
      <c r="G516" s="7" t="s">
        <v>128</v>
      </c>
      <c r="H516" s="8" t="str">
        <f t="shared" si="4"/>
        <v>14.3.10. Royal Jelly - Consumer - Distance to Place of Sale (in KM) royal_consumer_dist23</v>
      </c>
      <c r="I516" s="9"/>
      <c r="J516" s="9"/>
      <c r="K516" s="8" t="s">
        <v>1288</v>
      </c>
      <c r="L516" s="9"/>
      <c r="M516" s="9"/>
      <c r="N516" s="9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</row>
    <row r="517" spans="1:31" x14ac:dyDescent="0.25">
      <c r="A517" s="7" t="s">
        <v>970</v>
      </c>
      <c r="B517" s="8" t="s">
        <v>1299</v>
      </c>
      <c r="C517" s="8"/>
      <c r="D517" s="8" t="s">
        <v>972</v>
      </c>
      <c r="E517" s="8" t="s">
        <v>666</v>
      </c>
      <c r="F517" s="7" t="s">
        <v>337</v>
      </c>
      <c r="G517" s="7" t="s">
        <v>128</v>
      </c>
      <c r="H517" s="8" t="str">
        <f t="shared" si="4"/>
        <v>14.3.11. Royal Jelly - Private Retailer - Quantity (Kg) royal_private_qty23</v>
      </c>
      <c r="I517" s="9"/>
      <c r="J517" s="9"/>
      <c r="K517" s="8" t="s">
        <v>1288</v>
      </c>
      <c r="L517" s="9"/>
      <c r="M517" s="9"/>
      <c r="N517" s="9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</row>
    <row r="518" spans="1:31" x14ac:dyDescent="0.25">
      <c r="A518" s="7" t="s">
        <v>973</v>
      </c>
      <c r="B518" s="8" t="s">
        <v>1300</v>
      </c>
      <c r="C518" s="8"/>
      <c r="D518" s="8" t="s">
        <v>975</v>
      </c>
      <c r="E518" s="8" t="s">
        <v>670</v>
      </c>
      <c r="F518" s="7" t="s">
        <v>337</v>
      </c>
      <c r="G518" s="7" t="s">
        <v>128</v>
      </c>
      <c r="H518" s="8" t="str">
        <f t="shared" si="4"/>
        <v>14.3.12. Royal Jelly - Private Retailer - Price (Rs/Kg) royal_private_price23</v>
      </c>
      <c r="I518" s="9"/>
      <c r="J518" s="9"/>
      <c r="K518" s="8" t="s">
        <v>1288</v>
      </c>
      <c r="L518" s="9"/>
      <c r="M518" s="9"/>
      <c r="N518" s="9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</row>
    <row r="519" spans="1:31" x14ac:dyDescent="0.25">
      <c r="A519" s="7" t="s">
        <v>976</v>
      </c>
      <c r="B519" s="8" t="s">
        <v>1301</v>
      </c>
      <c r="C519" s="8"/>
      <c r="D519" s="8" t="s">
        <v>978</v>
      </c>
      <c r="E519" s="8" t="s">
        <v>640</v>
      </c>
      <c r="F519" s="7" t="s">
        <v>18</v>
      </c>
      <c r="G519" s="9"/>
      <c r="H519" s="8" t="str">
        <f t="shared" si="4"/>
        <v>14.3.13. Royal Jelly - Private Retailer - Distance to Place of Sale (in KM) royal_private_dist23</v>
      </c>
      <c r="I519" s="9"/>
      <c r="J519" s="9"/>
      <c r="K519" s="8" t="s">
        <v>1288</v>
      </c>
      <c r="L519" s="9"/>
      <c r="M519" s="9"/>
      <c r="N519" s="9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</row>
    <row r="520" spans="1:31" x14ac:dyDescent="0.25">
      <c r="A520" s="7" t="s">
        <v>979</v>
      </c>
      <c r="B520" s="8" t="s">
        <v>1302</v>
      </c>
      <c r="C520" s="8"/>
      <c r="D520" s="8" t="s">
        <v>981</v>
      </c>
      <c r="E520" s="8" t="s">
        <v>677</v>
      </c>
      <c r="F520" s="7" t="s">
        <v>337</v>
      </c>
      <c r="G520" s="7" t="s">
        <v>128</v>
      </c>
      <c r="H520" s="8" t="str">
        <f t="shared" si="4"/>
        <v>14.3.14. Royal Jelly - Honey Processing - Unit Quantity (Kg) royal_honey_qty23</v>
      </c>
      <c r="I520" s="9"/>
      <c r="J520" s="9"/>
      <c r="K520" s="8" t="s">
        <v>1288</v>
      </c>
      <c r="L520" s="9"/>
      <c r="M520" s="9"/>
      <c r="N520" s="9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</row>
    <row r="521" spans="1:31" x14ac:dyDescent="0.25">
      <c r="A521" s="7" t="s">
        <v>982</v>
      </c>
      <c r="B521" s="8" t="s">
        <v>1303</v>
      </c>
      <c r="C521" s="8"/>
      <c r="D521" s="8" t="s">
        <v>984</v>
      </c>
      <c r="E521" s="8" t="s">
        <v>681</v>
      </c>
      <c r="F521" s="7" t="s">
        <v>337</v>
      </c>
      <c r="G521" s="7" t="s">
        <v>128</v>
      </c>
      <c r="H521" s="8" t="str">
        <f t="shared" si="4"/>
        <v>14.3.15. Royal Jelly - Honey Processing - Unit Price (Rs/Kg) royal_honey_price23</v>
      </c>
      <c r="I521" s="9"/>
      <c r="J521" s="9"/>
      <c r="K521" s="8" t="s">
        <v>1288</v>
      </c>
      <c r="L521" s="9"/>
      <c r="M521" s="9"/>
      <c r="N521" s="9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</row>
    <row r="522" spans="1:31" x14ac:dyDescent="0.25">
      <c r="A522" s="7" t="s">
        <v>985</v>
      </c>
      <c r="B522" s="8" t="s">
        <v>1304</v>
      </c>
      <c r="C522" s="8"/>
      <c r="D522" s="8" t="s">
        <v>987</v>
      </c>
      <c r="E522" s="8" t="s">
        <v>640</v>
      </c>
      <c r="F522" s="7" t="s">
        <v>18</v>
      </c>
      <c r="G522" s="9"/>
      <c r="H522" s="8" t="str">
        <f t="shared" si="4"/>
        <v>14.3.16. Royal Jelly - Honey Processing - Distance to Place of Sale (in KM) royal_honey_dist23</v>
      </c>
      <c r="I522" s="9"/>
      <c r="J522" s="9"/>
      <c r="K522" s="8" t="s">
        <v>1288</v>
      </c>
      <c r="L522" s="9"/>
      <c r="M522" s="9"/>
      <c r="N522" s="9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</row>
    <row r="523" spans="1:31" x14ac:dyDescent="0.25">
      <c r="A523" s="7" t="s">
        <v>988</v>
      </c>
      <c r="B523" s="8" t="s">
        <v>1305</v>
      </c>
      <c r="C523" s="8"/>
      <c r="D523" s="8" t="s">
        <v>990</v>
      </c>
      <c r="E523" s="8" t="s">
        <v>688</v>
      </c>
      <c r="F523" s="7" t="s">
        <v>26</v>
      </c>
      <c r="G523" s="9"/>
      <c r="H523" s="8" t="str">
        <f t="shared" si="4"/>
        <v>14.3.17. Royal Jelly - Honey Processing Unit Name royal_honey_unitname23</v>
      </c>
      <c r="I523" s="9"/>
      <c r="J523" s="9"/>
      <c r="K523" s="8" t="s">
        <v>1288</v>
      </c>
      <c r="L523" s="8" t="s">
        <v>863</v>
      </c>
      <c r="M523" s="9"/>
      <c r="N523" s="9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</row>
    <row r="524" spans="1:31" x14ac:dyDescent="0.25">
      <c r="A524" s="7" t="s">
        <v>991</v>
      </c>
      <c r="B524" s="8" t="s">
        <v>1306</v>
      </c>
      <c r="C524" s="8"/>
      <c r="D524" s="8" t="s">
        <v>993</v>
      </c>
      <c r="E524" s="8" t="s">
        <v>694</v>
      </c>
      <c r="F524" s="7" t="s">
        <v>18</v>
      </c>
      <c r="G524" s="9"/>
      <c r="H524" s="8" t="str">
        <f t="shared" si="4"/>
        <v>14.3.18. Royal Jelly - Honey Processing Unit Name - Other royal_honey_unitname23_other</v>
      </c>
      <c r="I524" s="9"/>
      <c r="J524" s="9"/>
      <c r="K524" s="8" t="s">
        <v>1307</v>
      </c>
      <c r="L524" s="9"/>
      <c r="M524" s="9"/>
      <c r="N524" s="9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</row>
    <row r="525" spans="1:31" x14ac:dyDescent="0.25">
      <c r="A525" s="12" t="s">
        <v>995</v>
      </c>
      <c r="B525" s="3"/>
      <c r="C525" s="2"/>
      <c r="D525" s="2" t="s">
        <v>378</v>
      </c>
      <c r="E525" s="2" t="s">
        <v>379</v>
      </c>
      <c r="F525" s="3"/>
      <c r="G525" s="3"/>
      <c r="H525" s="2" t="str">
        <f t="shared" si="4"/>
        <v xml:space="preserve">14.4. Propolis </v>
      </c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x14ac:dyDescent="0.25">
      <c r="A526" s="7" t="s">
        <v>995</v>
      </c>
      <c r="B526" s="8" t="s">
        <v>1308</v>
      </c>
      <c r="C526" s="8"/>
      <c r="D526" s="8" t="s">
        <v>378</v>
      </c>
      <c r="E526" s="8" t="s">
        <v>379</v>
      </c>
      <c r="F526" s="7" t="s">
        <v>26</v>
      </c>
      <c r="G526" s="9"/>
      <c r="H526" s="8" t="str">
        <f t="shared" si="4"/>
        <v>14.4. Propolis propolis_coproduct23</v>
      </c>
      <c r="I526" s="9"/>
      <c r="J526" s="9"/>
      <c r="K526" s="9"/>
      <c r="L526" s="8" t="s">
        <v>124</v>
      </c>
      <c r="M526" s="9"/>
      <c r="N526" s="9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</row>
    <row r="527" spans="1:31" x14ac:dyDescent="0.25">
      <c r="A527" s="7" t="s">
        <v>997</v>
      </c>
      <c r="B527" s="8" t="s">
        <v>1309</v>
      </c>
      <c r="C527" s="8"/>
      <c r="D527" s="8" t="s">
        <v>999</v>
      </c>
      <c r="E527" s="8" t="s">
        <v>1000</v>
      </c>
      <c r="F527" s="7" t="s">
        <v>18</v>
      </c>
      <c r="G527" s="7" t="s">
        <v>128</v>
      </c>
      <c r="H527" s="8" t="str">
        <f t="shared" si="4"/>
        <v>14.4.1. Propolis - Total Cost of Beekeeping Co-Product (Rs.) propolis_coproduct_totalcost23</v>
      </c>
      <c r="I527" s="9"/>
      <c r="J527" s="9"/>
      <c r="K527" s="8" t="s">
        <v>1310</v>
      </c>
      <c r="L527" s="9"/>
      <c r="M527" s="9"/>
      <c r="N527" s="9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</row>
    <row r="528" spans="1:31" x14ac:dyDescent="0.25">
      <c r="A528" s="7" t="s">
        <v>1002</v>
      </c>
      <c r="B528" s="8" t="s">
        <v>1311</v>
      </c>
      <c r="C528" s="8"/>
      <c r="D528" s="8" t="s">
        <v>1004</v>
      </c>
      <c r="E528" s="8" t="s">
        <v>1005</v>
      </c>
      <c r="F528" s="7" t="s">
        <v>18</v>
      </c>
      <c r="G528" s="7" t="s">
        <v>128</v>
      </c>
      <c r="H528" s="8" t="str">
        <f t="shared" si="4"/>
        <v>(A) 14.4.1, Propolis - Total By Product Outcomes propolis_byproduct_outcomes23</v>
      </c>
      <c r="I528" s="9"/>
      <c r="J528" s="9"/>
      <c r="K528" s="8" t="s">
        <v>1310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</row>
    <row r="529" spans="1:31" x14ac:dyDescent="0.25">
      <c r="A529" s="7" t="s">
        <v>1006</v>
      </c>
      <c r="B529" s="8" t="s">
        <v>1312</v>
      </c>
      <c r="C529" s="8"/>
      <c r="D529" s="8" t="s">
        <v>1008</v>
      </c>
      <c r="E529" s="8" t="s">
        <v>632</v>
      </c>
      <c r="F529" s="7" t="s">
        <v>18</v>
      </c>
      <c r="G529" s="7" t="s">
        <v>128</v>
      </c>
      <c r="H529" s="8" t="str">
        <f t="shared" si="4"/>
        <v>14.4.2. Propolis - Local Shop - Quantity (Kg) propolis_local_qty23</v>
      </c>
      <c r="I529" s="9"/>
      <c r="J529" s="9"/>
      <c r="K529" s="8" t="s">
        <v>1310</v>
      </c>
      <c r="L529" s="9"/>
      <c r="M529" s="9"/>
      <c r="N529" s="9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</row>
    <row r="530" spans="1:31" x14ac:dyDescent="0.25">
      <c r="A530" s="7" t="s">
        <v>1009</v>
      </c>
      <c r="B530" s="8" t="s">
        <v>1313</v>
      </c>
      <c r="C530" s="8"/>
      <c r="D530" s="8" t="s">
        <v>1011</v>
      </c>
      <c r="E530" s="8" t="s">
        <v>636</v>
      </c>
      <c r="F530" s="7" t="s">
        <v>18</v>
      </c>
      <c r="G530" s="7" t="s">
        <v>128</v>
      </c>
      <c r="H530" s="8" t="str">
        <f t="shared" si="4"/>
        <v>14.4.3. Propolis - Local Shop - Price (Rs/Kg) pollen_locals_price23</v>
      </c>
      <c r="I530" s="9"/>
      <c r="J530" s="9"/>
      <c r="K530" s="8" t="s">
        <v>1310</v>
      </c>
      <c r="L530" s="9"/>
      <c r="M530" s="9"/>
      <c r="N530" s="9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</row>
    <row r="531" spans="1:31" x14ac:dyDescent="0.25">
      <c r="A531" s="7" t="s">
        <v>1012</v>
      </c>
      <c r="B531" s="8" t="s">
        <v>1314</v>
      </c>
      <c r="C531" s="8"/>
      <c r="D531" s="8" t="s">
        <v>1014</v>
      </c>
      <c r="E531" s="8" t="s">
        <v>640</v>
      </c>
      <c r="F531" s="7" t="s">
        <v>18</v>
      </c>
      <c r="G531" s="7" t="s">
        <v>128</v>
      </c>
      <c r="H531" s="8" t="str">
        <f t="shared" si="4"/>
        <v>14.4.4. Propolis - Local Shop - Distance to Place of Sale (in KM) propolis_locals_dist23</v>
      </c>
      <c r="I531" s="9"/>
      <c r="J531" s="9"/>
      <c r="K531" s="8" t="s">
        <v>1310</v>
      </c>
      <c r="L531" s="9"/>
      <c r="M531" s="9"/>
      <c r="N531" s="9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</row>
    <row r="532" spans="1:31" x14ac:dyDescent="0.25">
      <c r="A532" s="7" t="s">
        <v>1015</v>
      </c>
      <c r="B532" s="8" t="s">
        <v>1315</v>
      </c>
      <c r="C532" s="8"/>
      <c r="D532" s="8" t="s">
        <v>1017</v>
      </c>
      <c r="E532" s="8" t="s">
        <v>644</v>
      </c>
      <c r="F532" s="7" t="s">
        <v>18</v>
      </c>
      <c r="G532" s="7" t="s">
        <v>128</v>
      </c>
      <c r="H532" s="8" t="str">
        <f t="shared" si="4"/>
        <v>14.4.5. Propolis - Fair/Exhibition - Quantity (Kg) propolis_fair_qty23</v>
      </c>
      <c r="I532" s="9"/>
      <c r="J532" s="9"/>
      <c r="K532" s="8" t="s">
        <v>1310</v>
      </c>
      <c r="L532" s="9"/>
      <c r="M532" s="9"/>
      <c r="N532" s="9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</row>
    <row r="533" spans="1:31" x14ac:dyDescent="0.25">
      <c r="A533" s="7" t="s">
        <v>1018</v>
      </c>
      <c r="B533" s="8" t="s">
        <v>1316</v>
      </c>
      <c r="C533" s="8"/>
      <c r="D533" s="8" t="s">
        <v>1020</v>
      </c>
      <c r="E533" s="8" t="s">
        <v>648</v>
      </c>
      <c r="F533" s="7" t="s">
        <v>18</v>
      </c>
      <c r="G533" s="7" t="s">
        <v>128</v>
      </c>
      <c r="H533" s="8" t="str">
        <f t="shared" si="4"/>
        <v>14.4.6. Propolis - Fair/Exhibition - Price (Rs/Kg) propolis_fair_price23</v>
      </c>
      <c r="I533" s="9"/>
      <c r="J533" s="9"/>
      <c r="K533" s="8" t="s">
        <v>1310</v>
      </c>
      <c r="L533" s="9"/>
      <c r="M533" s="9"/>
      <c r="N533" s="9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</row>
    <row r="534" spans="1:31" x14ac:dyDescent="0.25">
      <c r="A534" s="7" t="s">
        <v>1021</v>
      </c>
      <c r="B534" s="8" t="s">
        <v>1317</v>
      </c>
      <c r="C534" s="8"/>
      <c r="D534" s="8" t="s">
        <v>1023</v>
      </c>
      <c r="E534" s="8" t="s">
        <v>640</v>
      </c>
      <c r="F534" s="7" t="s">
        <v>18</v>
      </c>
      <c r="G534" s="7" t="s">
        <v>128</v>
      </c>
      <c r="H534" s="8" t="str">
        <f t="shared" si="4"/>
        <v>14.4.7. Propolis - Fair/Exhibition - Distance to Place of Sale (in KM) propolis_fair_dist23</v>
      </c>
      <c r="I534" s="9"/>
      <c r="J534" s="9"/>
      <c r="K534" s="8" t="s">
        <v>1310</v>
      </c>
      <c r="L534" s="9"/>
      <c r="M534" s="9"/>
      <c r="N534" s="9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</row>
    <row r="535" spans="1:31" x14ac:dyDescent="0.25">
      <c r="A535" s="7" t="s">
        <v>1024</v>
      </c>
      <c r="B535" s="8" t="s">
        <v>1318</v>
      </c>
      <c r="C535" s="8"/>
      <c r="D535" s="8" t="s">
        <v>1026</v>
      </c>
      <c r="E535" s="8" t="s">
        <v>655</v>
      </c>
      <c r="F535" s="7" t="s">
        <v>337</v>
      </c>
      <c r="G535" s="7" t="s">
        <v>128</v>
      </c>
      <c r="H535" s="8" t="str">
        <f t="shared" si="4"/>
        <v>14.4.8. Propolis - Consumer - Quantity (Kg) propolis_consumer_qty23</v>
      </c>
      <c r="I535" s="9"/>
      <c r="J535" s="9"/>
      <c r="K535" s="8" t="s">
        <v>1310</v>
      </c>
      <c r="L535" s="9"/>
      <c r="M535" s="9"/>
      <c r="N535" s="9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</row>
    <row r="536" spans="1:31" x14ac:dyDescent="0.25">
      <c r="A536" s="7" t="s">
        <v>1027</v>
      </c>
      <c r="B536" s="8" t="s">
        <v>1319</v>
      </c>
      <c r="C536" s="8"/>
      <c r="D536" s="8" t="s">
        <v>1029</v>
      </c>
      <c r="E536" s="8" t="s">
        <v>659</v>
      </c>
      <c r="F536" s="7" t="s">
        <v>337</v>
      </c>
      <c r="G536" s="7" t="s">
        <v>128</v>
      </c>
      <c r="H536" s="8" t="str">
        <f t="shared" si="4"/>
        <v>14.4.9. Propolis - Consumer - Price (Rs/Kg) propolis_consumer_price23</v>
      </c>
      <c r="I536" s="9"/>
      <c r="J536" s="9"/>
      <c r="K536" s="8" t="s">
        <v>1310</v>
      </c>
      <c r="L536" s="9"/>
      <c r="M536" s="9"/>
      <c r="N536" s="9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</row>
    <row r="537" spans="1:31" x14ac:dyDescent="0.25">
      <c r="A537" s="7" t="s">
        <v>1030</v>
      </c>
      <c r="B537" s="8" t="s">
        <v>1320</v>
      </c>
      <c r="C537" s="8"/>
      <c r="D537" s="8" t="s">
        <v>1032</v>
      </c>
      <c r="E537" s="8" t="s">
        <v>640</v>
      </c>
      <c r="F537" s="7" t="s">
        <v>18</v>
      </c>
      <c r="G537" s="7" t="s">
        <v>128</v>
      </c>
      <c r="H537" s="8" t="str">
        <f t="shared" si="4"/>
        <v>14.4.10. Propolis - Consumer - Distance to Place of Sale (in KM) propolis_consumer_dist23</v>
      </c>
      <c r="I537" s="9"/>
      <c r="J537" s="9"/>
      <c r="K537" s="8" t="s">
        <v>1310</v>
      </c>
      <c r="L537" s="9"/>
      <c r="M537" s="9"/>
      <c r="N537" s="9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</row>
    <row r="538" spans="1:31" x14ac:dyDescent="0.25">
      <c r="A538" s="7" t="s">
        <v>1033</v>
      </c>
      <c r="B538" s="8" t="s">
        <v>1321</v>
      </c>
      <c r="C538" s="8"/>
      <c r="D538" s="8" t="s">
        <v>1035</v>
      </c>
      <c r="E538" s="8" t="s">
        <v>666</v>
      </c>
      <c r="F538" s="7" t="s">
        <v>337</v>
      </c>
      <c r="G538" s="7" t="s">
        <v>128</v>
      </c>
      <c r="H538" s="8" t="str">
        <f t="shared" si="4"/>
        <v>14.4.11. Propolis - Private Retailer - Quantity (Kg) propolis_private_qty23</v>
      </c>
      <c r="I538" s="9"/>
      <c r="J538" s="9"/>
      <c r="K538" s="8" t="s">
        <v>1310</v>
      </c>
      <c r="L538" s="9"/>
      <c r="M538" s="9"/>
      <c r="N538" s="9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</row>
    <row r="539" spans="1:31" x14ac:dyDescent="0.25">
      <c r="A539" s="7" t="s">
        <v>1036</v>
      </c>
      <c r="B539" s="8" t="s">
        <v>1322</v>
      </c>
      <c r="C539" s="8"/>
      <c r="D539" s="8" t="s">
        <v>1038</v>
      </c>
      <c r="E539" s="8" t="s">
        <v>670</v>
      </c>
      <c r="F539" s="7" t="s">
        <v>337</v>
      </c>
      <c r="G539" s="7" t="s">
        <v>128</v>
      </c>
      <c r="H539" s="8" t="str">
        <f t="shared" si="4"/>
        <v>14.4.12. Propolis - Private Retailer - Price (Rs/Kg) propolis_private_price23</v>
      </c>
      <c r="I539" s="9"/>
      <c r="J539" s="9"/>
      <c r="K539" s="8" t="s">
        <v>1310</v>
      </c>
      <c r="L539" s="9"/>
      <c r="M539" s="9"/>
      <c r="N539" s="9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</row>
    <row r="540" spans="1:31" x14ac:dyDescent="0.25">
      <c r="A540" s="7" t="s">
        <v>1039</v>
      </c>
      <c r="B540" s="8" t="s">
        <v>1323</v>
      </c>
      <c r="C540" s="8"/>
      <c r="D540" s="8" t="s">
        <v>1041</v>
      </c>
      <c r="E540" s="8" t="s">
        <v>640</v>
      </c>
      <c r="F540" s="7" t="s">
        <v>18</v>
      </c>
      <c r="G540" s="7" t="s">
        <v>128</v>
      </c>
      <c r="H540" s="8" t="str">
        <f t="shared" si="4"/>
        <v>14.4.13. Propolis - Private Retailer - Distance to Place of Sale (in KM) propolis_private_dist23</v>
      </c>
      <c r="I540" s="9"/>
      <c r="J540" s="9"/>
      <c r="K540" s="8" t="s">
        <v>1310</v>
      </c>
      <c r="L540" s="9"/>
      <c r="M540" s="9"/>
      <c r="N540" s="9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</row>
    <row r="541" spans="1:31" x14ac:dyDescent="0.25">
      <c r="A541" s="7" t="s">
        <v>1042</v>
      </c>
      <c r="B541" s="8" t="s">
        <v>1324</v>
      </c>
      <c r="C541" s="8"/>
      <c r="D541" s="8" t="s">
        <v>1044</v>
      </c>
      <c r="E541" s="8" t="s">
        <v>677</v>
      </c>
      <c r="F541" s="7" t="s">
        <v>337</v>
      </c>
      <c r="G541" s="7" t="s">
        <v>128</v>
      </c>
      <c r="H541" s="8" t="str">
        <f t="shared" si="4"/>
        <v>14.4.14. Propolis - Honey Processing - Unit Quantity (Kg) propolis_honey_qty23</v>
      </c>
      <c r="I541" s="9"/>
      <c r="J541" s="9"/>
      <c r="K541" s="8" t="s">
        <v>1310</v>
      </c>
      <c r="L541" s="9"/>
      <c r="M541" s="9"/>
      <c r="N541" s="9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</row>
    <row r="542" spans="1:31" x14ac:dyDescent="0.25">
      <c r="A542" s="7" t="s">
        <v>1045</v>
      </c>
      <c r="B542" s="8" t="s">
        <v>1325</v>
      </c>
      <c r="C542" s="8"/>
      <c r="D542" s="8" t="s">
        <v>1047</v>
      </c>
      <c r="E542" s="8" t="s">
        <v>681</v>
      </c>
      <c r="F542" s="7" t="s">
        <v>337</v>
      </c>
      <c r="G542" s="7" t="s">
        <v>128</v>
      </c>
      <c r="H542" s="8" t="str">
        <f t="shared" si="4"/>
        <v>14.4.15. Propolis - Honey Processing - Unit Price (Rs/Kg) propolis_honey_price23</v>
      </c>
      <c r="I542" s="9"/>
      <c r="J542" s="9"/>
      <c r="K542" s="8" t="s">
        <v>1310</v>
      </c>
      <c r="L542" s="9"/>
      <c r="M542" s="9"/>
      <c r="N542" s="9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</row>
    <row r="543" spans="1:31" x14ac:dyDescent="0.25">
      <c r="A543" s="7" t="s">
        <v>1048</v>
      </c>
      <c r="B543" s="8" t="s">
        <v>1326</v>
      </c>
      <c r="C543" s="8"/>
      <c r="D543" s="8" t="s">
        <v>1050</v>
      </c>
      <c r="E543" s="8" t="s">
        <v>640</v>
      </c>
      <c r="F543" s="7" t="s">
        <v>18</v>
      </c>
      <c r="G543" s="7" t="s">
        <v>128</v>
      </c>
      <c r="H543" s="8" t="str">
        <f t="shared" si="4"/>
        <v>14.4.16. Propolis - Honey Processing - Distance to Place of Sale (in KM) propolis_honey_dist23</v>
      </c>
      <c r="I543" s="9"/>
      <c r="J543" s="9"/>
      <c r="K543" s="8" t="s">
        <v>1310</v>
      </c>
      <c r="L543" s="9"/>
      <c r="M543" s="9"/>
      <c r="N543" s="9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</row>
    <row r="544" spans="1:31" x14ac:dyDescent="0.25">
      <c r="A544" s="7" t="s">
        <v>1051</v>
      </c>
      <c r="B544" s="8" t="s">
        <v>1327</v>
      </c>
      <c r="C544" s="8"/>
      <c r="D544" s="8" t="s">
        <v>1053</v>
      </c>
      <c r="E544" s="8" t="s">
        <v>688</v>
      </c>
      <c r="F544" s="7" t="s">
        <v>26</v>
      </c>
      <c r="G544" s="9"/>
      <c r="H544" s="8" t="str">
        <f t="shared" si="4"/>
        <v>14.4.17. Propolis - Honey Processing Unit Name propolis_honey_unitname23</v>
      </c>
      <c r="I544" s="9"/>
      <c r="J544" s="9"/>
      <c r="K544" s="8" t="s">
        <v>1310</v>
      </c>
      <c r="L544" s="8" t="s">
        <v>863</v>
      </c>
      <c r="M544" s="9"/>
      <c r="N544" s="9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</row>
    <row r="545" spans="1:31" x14ac:dyDescent="0.25">
      <c r="A545" s="7" t="s">
        <v>1054</v>
      </c>
      <c r="B545" s="8" t="s">
        <v>1328</v>
      </c>
      <c r="C545" s="8"/>
      <c r="D545" s="8" t="s">
        <v>1056</v>
      </c>
      <c r="E545" s="8" t="s">
        <v>694</v>
      </c>
      <c r="F545" s="7" t="s">
        <v>18</v>
      </c>
      <c r="G545" s="9"/>
      <c r="H545" s="8" t="str">
        <f t="shared" si="4"/>
        <v>14.4.18. Propolis - Honey Processing Unit Name - Other propolis_honey_unitname23_other</v>
      </c>
      <c r="I545" s="9"/>
      <c r="J545" s="9"/>
      <c r="K545" s="8" t="s">
        <v>1329</v>
      </c>
      <c r="L545" s="9"/>
      <c r="M545" s="9"/>
      <c r="N545" s="9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</row>
    <row r="546" spans="1:31" x14ac:dyDescent="0.25">
      <c r="A546" s="12" t="s">
        <v>1058</v>
      </c>
      <c r="B546" s="3"/>
      <c r="C546" s="2"/>
      <c r="D546" s="2" t="s">
        <v>389</v>
      </c>
      <c r="E546" s="2" t="s">
        <v>390</v>
      </c>
      <c r="F546" s="3"/>
      <c r="G546" s="3"/>
      <c r="H546" s="2" t="str">
        <f t="shared" si="4"/>
        <v xml:space="preserve">14.5. Venom </v>
      </c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x14ac:dyDescent="0.25">
      <c r="A547" s="7" t="s">
        <v>1058</v>
      </c>
      <c r="B547" s="8" t="s">
        <v>1330</v>
      </c>
      <c r="C547" s="8"/>
      <c r="D547" s="8" t="s">
        <v>389</v>
      </c>
      <c r="E547" s="8" t="s">
        <v>390</v>
      </c>
      <c r="F547" s="7" t="s">
        <v>26</v>
      </c>
      <c r="G547" s="9"/>
      <c r="H547" s="8" t="str">
        <f t="shared" si="4"/>
        <v>14.5. Venom venom_coproduct23</v>
      </c>
      <c r="I547" s="9"/>
      <c r="J547" s="9"/>
      <c r="K547" s="9"/>
      <c r="L547" s="8" t="s">
        <v>124</v>
      </c>
      <c r="M547" s="9"/>
      <c r="N547" s="9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</row>
    <row r="548" spans="1:31" x14ac:dyDescent="0.25">
      <c r="A548" s="7" t="s">
        <v>1060</v>
      </c>
      <c r="B548" s="8" t="s">
        <v>1331</v>
      </c>
      <c r="C548" s="8"/>
      <c r="D548" s="8" t="s">
        <v>1062</v>
      </c>
      <c r="E548" s="8" t="s">
        <v>1063</v>
      </c>
      <c r="F548" s="7" t="s">
        <v>18</v>
      </c>
      <c r="G548" s="7" t="s">
        <v>128</v>
      </c>
      <c r="H548" s="8" t="str">
        <f t="shared" si="4"/>
        <v>14.5.1. Venom - Total Cost of Beekeeping Co-Product (Rs.) venom_coproduct_totalcost23</v>
      </c>
      <c r="I548" s="9"/>
      <c r="J548" s="9"/>
      <c r="K548" s="8" t="s">
        <v>1332</v>
      </c>
      <c r="L548" s="9"/>
      <c r="M548" s="9"/>
      <c r="N548" s="9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</row>
    <row r="549" spans="1:31" x14ac:dyDescent="0.25">
      <c r="A549" s="7" t="s">
        <v>1065</v>
      </c>
      <c r="B549" s="8" t="s">
        <v>1333</v>
      </c>
      <c r="C549" s="8"/>
      <c r="D549" s="8" t="s">
        <v>1067</v>
      </c>
      <c r="E549" s="8" t="s">
        <v>1068</v>
      </c>
      <c r="F549" s="7" t="s">
        <v>18</v>
      </c>
      <c r="G549" s="7" t="s">
        <v>128</v>
      </c>
      <c r="H549" s="8" t="str">
        <f t="shared" si="4"/>
        <v>(A) 14.5.1, Venom - Total By Product Outcomes venom_byproduct_outcomes23</v>
      </c>
      <c r="I549" s="9"/>
      <c r="J549" s="9"/>
      <c r="K549" s="8" t="s">
        <v>1332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</row>
    <row r="550" spans="1:31" x14ac:dyDescent="0.25">
      <c r="A550" s="7" t="s">
        <v>1069</v>
      </c>
      <c r="B550" s="8" t="s">
        <v>1334</v>
      </c>
      <c r="C550" s="8"/>
      <c r="D550" s="8" t="s">
        <v>1071</v>
      </c>
      <c r="E550" s="8" t="s">
        <v>632</v>
      </c>
      <c r="F550" s="7" t="s">
        <v>18</v>
      </c>
      <c r="G550" s="7" t="s">
        <v>128</v>
      </c>
      <c r="H550" s="8" t="str">
        <f t="shared" si="4"/>
        <v>14.5.2. Venom - Local Shop - Quantity (Kg) venom_local_qty23</v>
      </c>
      <c r="I550" s="9"/>
      <c r="J550" s="9"/>
      <c r="K550" s="8" t="s">
        <v>1332</v>
      </c>
      <c r="L550" s="9"/>
      <c r="M550" s="9"/>
      <c r="N550" s="9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</row>
    <row r="551" spans="1:31" x14ac:dyDescent="0.25">
      <c r="A551" s="7" t="s">
        <v>1072</v>
      </c>
      <c r="B551" s="8" t="s">
        <v>1335</v>
      </c>
      <c r="C551" s="8"/>
      <c r="D551" s="8" t="s">
        <v>1074</v>
      </c>
      <c r="E551" s="8" t="s">
        <v>636</v>
      </c>
      <c r="F551" s="7" t="s">
        <v>18</v>
      </c>
      <c r="G551" s="7" t="s">
        <v>128</v>
      </c>
      <c r="H551" s="8" t="str">
        <f t="shared" si="4"/>
        <v>14.5.3. Venom - Local Shop - Price (Rs/Kg) pollen_localsp_price23</v>
      </c>
      <c r="I551" s="9"/>
      <c r="J551" s="9"/>
      <c r="K551" s="8" t="s">
        <v>1332</v>
      </c>
      <c r="L551" s="9"/>
      <c r="M551" s="9"/>
      <c r="N551" s="9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</row>
    <row r="552" spans="1:31" x14ac:dyDescent="0.25">
      <c r="A552" s="7" t="s">
        <v>1075</v>
      </c>
      <c r="B552" s="8" t="s">
        <v>1336</v>
      </c>
      <c r="C552" s="8"/>
      <c r="D552" s="8" t="s">
        <v>1077</v>
      </c>
      <c r="E552" s="8" t="s">
        <v>640</v>
      </c>
      <c r="F552" s="7" t="s">
        <v>18</v>
      </c>
      <c r="G552" s="9"/>
      <c r="H552" s="8" t="str">
        <f t="shared" si="4"/>
        <v>14.5.4. Venom - Local Shop - Distance to Place of Sale (in KM) venom_local_dist23</v>
      </c>
      <c r="I552" s="9"/>
      <c r="J552" s="9"/>
      <c r="K552" s="8" t="s">
        <v>1332</v>
      </c>
      <c r="L552" s="9"/>
      <c r="M552" s="9"/>
      <c r="N552" s="9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</row>
    <row r="553" spans="1:31" x14ac:dyDescent="0.25">
      <c r="A553" s="7" t="s">
        <v>1079</v>
      </c>
      <c r="B553" s="8" t="s">
        <v>1337</v>
      </c>
      <c r="C553" s="8"/>
      <c r="D553" s="8" t="s">
        <v>1081</v>
      </c>
      <c r="E553" s="8" t="s">
        <v>644</v>
      </c>
      <c r="F553" s="7" t="s">
        <v>18</v>
      </c>
      <c r="G553" s="7" t="s">
        <v>128</v>
      </c>
      <c r="H553" s="8" t="str">
        <f t="shared" si="4"/>
        <v>14.5.5. Venom - Fair/Exhibition - Quantity (Kg) venom_fair_qty23</v>
      </c>
      <c r="I553" s="9"/>
      <c r="J553" s="9"/>
      <c r="K553" s="8" t="s">
        <v>1332</v>
      </c>
      <c r="L553" s="9"/>
      <c r="M553" s="9"/>
      <c r="N553" s="9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</row>
    <row r="554" spans="1:31" x14ac:dyDescent="0.25">
      <c r="A554" s="7" t="s">
        <v>1082</v>
      </c>
      <c r="B554" s="8" t="s">
        <v>1338</v>
      </c>
      <c r="C554" s="8"/>
      <c r="D554" s="8" t="s">
        <v>1084</v>
      </c>
      <c r="E554" s="8" t="s">
        <v>648</v>
      </c>
      <c r="F554" s="7" t="s">
        <v>18</v>
      </c>
      <c r="G554" s="7" t="s">
        <v>128</v>
      </c>
      <c r="H554" s="8" t="str">
        <f t="shared" si="4"/>
        <v>14.5.6. Venom - Fair/Exhibition - Price (Rs/Kg) venom_fair_price23</v>
      </c>
      <c r="I554" s="9"/>
      <c r="J554" s="9"/>
      <c r="K554" s="8" t="s">
        <v>1332</v>
      </c>
      <c r="L554" s="9"/>
      <c r="M554" s="9"/>
      <c r="N554" s="9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</row>
    <row r="555" spans="1:31" x14ac:dyDescent="0.25">
      <c r="A555" s="7" t="s">
        <v>1085</v>
      </c>
      <c r="B555" s="8" t="s">
        <v>1339</v>
      </c>
      <c r="C555" s="8"/>
      <c r="D555" s="8" t="s">
        <v>1087</v>
      </c>
      <c r="E555" s="8" t="s">
        <v>640</v>
      </c>
      <c r="F555" s="7" t="s">
        <v>18</v>
      </c>
      <c r="G555" s="9"/>
      <c r="H555" s="8" t="str">
        <f t="shared" si="4"/>
        <v>14.5.7. Venom - Fair/Exhibition - Distance to Place of Sale (in KM) venom_fair_dist23</v>
      </c>
      <c r="I555" s="9"/>
      <c r="J555" s="9"/>
      <c r="K555" s="8" t="s">
        <v>1332</v>
      </c>
      <c r="L555" s="9"/>
      <c r="M555" s="9"/>
      <c r="N555" s="9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</row>
    <row r="556" spans="1:31" x14ac:dyDescent="0.25">
      <c r="A556" s="7" t="s">
        <v>1088</v>
      </c>
      <c r="B556" s="8" t="s">
        <v>1340</v>
      </c>
      <c r="C556" s="8"/>
      <c r="D556" s="8" t="s">
        <v>1090</v>
      </c>
      <c r="E556" s="8" t="s">
        <v>655</v>
      </c>
      <c r="F556" s="7" t="s">
        <v>337</v>
      </c>
      <c r="G556" s="7" t="s">
        <v>128</v>
      </c>
      <c r="H556" s="8" t="str">
        <f t="shared" si="4"/>
        <v>14.5.8. Venom - Consumer - Quantity (Kg) venom_consumer_qty23</v>
      </c>
      <c r="I556" s="9"/>
      <c r="J556" s="9"/>
      <c r="K556" s="8" t="s">
        <v>1332</v>
      </c>
      <c r="L556" s="9"/>
      <c r="M556" s="9"/>
      <c r="N556" s="9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</row>
    <row r="557" spans="1:31" x14ac:dyDescent="0.25">
      <c r="A557" s="7" t="s">
        <v>1091</v>
      </c>
      <c r="B557" s="8" t="s">
        <v>1341</v>
      </c>
      <c r="C557" s="8"/>
      <c r="D557" s="8" t="s">
        <v>1093</v>
      </c>
      <c r="E557" s="8" t="s">
        <v>659</v>
      </c>
      <c r="F557" s="7" t="s">
        <v>337</v>
      </c>
      <c r="G557" s="7" t="s">
        <v>128</v>
      </c>
      <c r="H557" s="8" t="str">
        <f t="shared" si="4"/>
        <v>14.5.9. Venom - Consumer - Price (Rs/Kg) venom_consumer_price23</v>
      </c>
      <c r="I557" s="9"/>
      <c r="J557" s="9"/>
      <c r="K557" s="8" t="s">
        <v>1332</v>
      </c>
      <c r="L557" s="9"/>
      <c r="M557" s="9"/>
      <c r="N557" s="9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</row>
    <row r="558" spans="1:31" x14ac:dyDescent="0.25">
      <c r="A558" s="7" t="s">
        <v>1094</v>
      </c>
      <c r="B558" s="8" t="s">
        <v>1342</v>
      </c>
      <c r="C558" s="8"/>
      <c r="D558" s="8" t="s">
        <v>1096</v>
      </c>
      <c r="E558" s="8" t="s">
        <v>640</v>
      </c>
      <c r="F558" s="7" t="s">
        <v>18</v>
      </c>
      <c r="G558" s="9"/>
      <c r="H558" s="8" t="str">
        <f t="shared" si="4"/>
        <v>14.5.10. Venom - Consumer - Distance to Place of Sale (in KM) venom_consumer_dist23</v>
      </c>
      <c r="I558" s="9"/>
      <c r="J558" s="9"/>
      <c r="K558" s="8" t="s">
        <v>1332</v>
      </c>
      <c r="L558" s="9"/>
      <c r="M558" s="9"/>
      <c r="N558" s="9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</row>
    <row r="559" spans="1:31" x14ac:dyDescent="0.25">
      <c r="A559" s="7" t="s">
        <v>1097</v>
      </c>
      <c r="B559" s="8" t="s">
        <v>1343</v>
      </c>
      <c r="C559" s="8"/>
      <c r="D559" s="8" t="s">
        <v>1099</v>
      </c>
      <c r="E559" s="8" t="s">
        <v>666</v>
      </c>
      <c r="F559" s="7" t="s">
        <v>337</v>
      </c>
      <c r="G559" s="7" t="s">
        <v>128</v>
      </c>
      <c r="H559" s="8" t="str">
        <f t="shared" si="4"/>
        <v>14.5.11. Venom - Private Retailer - Quantity (Kg) venom_private_qty23</v>
      </c>
      <c r="I559" s="9"/>
      <c r="J559" s="9"/>
      <c r="K559" s="8" t="s">
        <v>1332</v>
      </c>
      <c r="L559" s="9"/>
      <c r="M559" s="9"/>
      <c r="N559" s="9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</row>
    <row r="560" spans="1:31" x14ac:dyDescent="0.25">
      <c r="A560" s="7" t="s">
        <v>845</v>
      </c>
      <c r="B560" s="8" t="s">
        <v>1344</v>
      </c>
      <c r="C560" s="8"/>
      <c r="D560" s="8" t="s">
        <v>1101</v>
      </c>
      <c r="E560" s="8" t="s">
        <v>670</v>
      </c>
      <c r="F560" s="7" t="s">
        <v>337</v>
      </c>
      <c r="G560" s="7" t="s">
        <v>128</v>
      </c>
      <c r="H560" s="8" t="str">
        <f t="shared" si="4"/>
        <v>14.1.12. Venom - Private Retailer - Price (Rs/Kg) venom_private_price23</v>
      </c>
      <c r="I560" s="9"/>
      <c r="J560" s="9"/>
      <c r="K560" s="8" t="s">
        <v>1332</v>
      </c>
      <c r="L560" s="9"/>
      <c r="M560" s="9"/>
      <c r="N560" s="9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</row>
    <row r="561" spans="1:31" x14ac:dyDescent="0.25">
      <c r="A561" s="7" t="s">
        <v>1102</v>
      </c>
      <c r="B561" s="8" t="s">
        <v>1345</v>
      </c>
      <c r="C561" s="8"/>
      <c r="D561" s="8" t="s">
        <v>1104</v>
      </c>
      <c r="E561" s="8" t="s">
        <v>640</v>
      </c>
      <c r="F561" s="7" t="s">
        <v>18</v>
      </c>
      <c r="G561" s="9"/>
      <c r="H561" s="8" t="str">
        <f t="shared" si="4"/>
        <v>14.5.13. Venom - Private Retailer - Distance to Place of Sale (in KM) venom_private_dist23</v>
      </c>
      <c r="I561" s="9"/>
      <c r="J561" s="9"/>
      <c r="K561" s="8" t="s">
        <v>1332</v>
      </c>
      <c r="L561" s="9"/>
      <c r="M561" s="9"/>
      <c r="N561" s="9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</row>
    <row r="562" spans="1:31" x14ac:dyDescent="0.25">
      <c r="A562" s="7" t="s">
        <v>1105</v>
      </c>
      <c r="B562" s="8" t="s">
        <v>1346</v>
      </c>
      <c r="C562" s="8"/>
      <c r="D562" s="8" t="s">
        <v>1107</v>
      </c>
      <c r="E562" s="8" t="s">
        <v>677</v>
      </c>
      <c r="F562" s="7" t="s">
        <v>337</v>
      </c>
      <c r="G562" s="7" t="s">
        <v>128</v>
      </c>
      <c r="H562" s="8" t="str">
        <f t="shared" si="4"/>
        <v>14.5.14. Venom - Honey Processing - Unit Quantity (Kg) venom_honey_qty23</v>
      </c>
      <c r="I562" s="9"/>
      <c r="J562" s="9"/>
      <c r="K562" s="8" t="s">
        <v>1332</v>
      </c>
      <c r="L562" s="9"/>
      <c r="M562" s="9"/>
      <c r="N562" s="9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</row>
    <row r="563" spans="1:31" x14ac:dyDescent="0.25">
      <c r="A563" s="7" t="s">
        <v>1108</v>
      </c>
      <c r="B563" s="8" t="s">
        <v>1347</v>
      </c>
      <c r="C563" s="8"/>
      <c r="D563" s="8" t="s">
        <v>1110</v>
      </c>
      <c r="E563" s="8" t="s">
        <v>681</v>
      </c>
      <c r="F563" s="7" t="s">
        <v>337</v>
      </c>
      <c r="G563" s="7" t="s">
        <v>128</v>
      </c>
      <c r="H563" s="8" t="str">
        <f t="shared" si="4"/>
        <v>14.5.15. Venom - Honey Processing - Unit Price (Rs/Kg) venom_honey_price23</v>
      </c>
      <c r="I563" s="9"/>
      <c r="J563" s="9"/>
      <c r="K563" s="8" t="s">
        <v>1332</v>
      </c>
      <c r="L563" s="9"/>
      <c r="M563" s="9"/>
      <c r="N563" s="9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</row>
    <row r="564" spans="1:31" x14ac:dyDescent="0.25">
      <c r="A564" s="7" t="s">
        <v>1112</v>
      </c>
      <c r="B564" s="8" t="s">
        <v>1348</v>
      </c>
      <c r="C564" s="8"/>
      <c r="D564" s="8" t="s">
        <v>1114</v>
      </c>
      <c r="E564" s="8" t="s">
        <v>640</v>
      </c>
      <c r="F564" s="7" t="s">
        <v>18</v>
      </c>
      <c r="G564" s="9"/>
      <c r="H564" s="8" t="str">
        <f t="shared" si="4"/>
        <v>14.5.16. Venom - Honey Processing - Distance to Place of Sale (in KM) venom_honey_dist23</v>
      </c>
      <c r="I564" s="9"/>
      <c r="J564" s="9"/>
      <c r="K564" s="8" t="s">
        <v>1332</v>
      </c>
      <c r="L564" s="9"/>
      <c r="M564" s="9"/>
      <c r="N564" s="9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</row>
    <row r="565" spans="1:31" x14ac:dyDescent="0.25">
      <c r="A565" s="7" t="s">
        <v>1115</v>
      </c>
      <c r="B565" s="8" t="s">
        <v>1349</v>
      </c>
      <c r="C565" s="8"/>
      <c r="D565" s="8" t="s">
        <v>1117</v>
      </c>
      <c r="E565" s="8" t="s">
        <v>688</v>
      </c>
      <c r="F565" s="7" t="s">
        <v>26</v>
      </c>
      <c r="G565" s="9"/>
      <c r="H565" s="8" t="str">
        <f t="shared" si="4"/>
        <v>14.5.17. Venom - Honey Processing Unit Name venom_honey_unitname23</v>
      </c>
      <c r="I565" s="9"/>
      <c r="J565" s="9"/>
      <c r="K565" s="8" t="s">
        <v>1332</v>
      </c>
      <c r="L565" s="8" t="s">
        <v>863</v>
      </c>
      <c r="M565" s="9"/>
      <c r="N565" s="9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</row>
    <row r="566" spans="1:31" x14ac:dyDescent="0.25">
      <c r="A566" s="7" t="s">
        <v>1118</v>
      </c>
      <c r="B566" s="8" t="s">
        <v>1350</v>
      </c>
      <c r="C566" s="8"/>
      <c r="D566" s="8" t="s">
        <v>1120</v>
      </c>
      <c r="E566" s="8" t="s">
        <v>694</v>
      </c>
      <c r="F566" s="7" t="s">
        <v>18</v>
      </c>
      <c r="G566" s="9"/>
      <c r="H566" s="8" t="str">
        <f t="shared" si="4"/>
        <v>14.5.18. Venom - Honey Processing Unit Name - Other venom_honey_unitname23_other</v>
      </c>
      <c r="I566" s="9"/>
      <c r="J566" s="9"/>
      <c r="K566" s="8" t="s">
        <v>1351</v>
      </c>
      <c r="L566" s="9"/>
      <c r="M566" s="9"/>
      <c r="N566" s="9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</row>
    <row r="567" spans="1:31" x14ac:dyDescent="0.25">
      <c r="A567" s="4">
        <v>15</v>
      </c>
      <c r="B567" s="5"/>
      <c r="C567" s="6"/>
      <c r="D567" s="6" t="s">
        <v>1352</v>
      </c>
      <c r="E567" s="6" t="s">
        <v>1353</v>
      </c>
      <c r="F567" s="5"/>
      <c r="G567" s="5"/>
      <c r="H567" s="6" t="str">
        <f t="shared" si="4"/>
        <v xml:space="preserve">15 Grading of Honey after Harvest under Beekeeping </v>
      </c>
      <c r="I567" s="5"/>
      <c r="J567" s="5"/>
      <c r="K567" s="5"/>
      <c r="L567" s="5"/>
      <c r="M567" s="5"/>
      <c r="N567" s="5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</row>
    <row r="568" spans="1:31" x14ac:dyDescent="0.25">
      <c r="A568" s="7">
        <v>15</v>
      </c>
      <c r="B568" s="8" t="s">
        <v>1354</v>
      </c>
      <c r="C568" s="8"/>
      <c r="D568" s="8" t="s">
        <v>1355</v>
      </c>
      <c r="E568" s="8" t="s">
        <v>1356</v>
      </c>
      <c r="F568" s="7" t="s">
        <v>26</v>
      </c>
      <c r="G568" s="9"/>
      <c r="H568" s="8" t="str">
        <f t="shared" si="4"/>
        <v>15 Are you doing the grading of Honey after Harvest under Beekeeping?   is_under_harvest_grading</v>
      </c>
      <c r="I568" s="9"/>
      <c r="J568" s="9"/>
      <c r="K568" s="9"/>
      <c r="L568" s="8" t="s">
        <v>124</v>
      </c>
      <c r="M568" s="8" t="s">
        <v>601</v>
      </c>
      <c r="N568" s="9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</row>
    <row r="569" spans="1:31" x14ac:dyDescent="0.25">
      <c r="A569" s="7" t="s">
        <v>1357</v>
      </c>
      <c r="B569" s="8" t="s">
        <v>1358</v>
      </c>
      <c r="C569" s="8"/>
      <c r="D569" s="8" t="s">
        <v>1359</v>
      </c>
      <c r="E569" s="8" t="s">
        <v>1360</v>
      </c>
      <c r="F569" s="7" t="s">
        <v>26</v>
      </c>
      <c r="G569" s="9"/>
      <c r="H569" s="8" t="str">
        <f t="shared" si="4"/>
        <v>15.1. Manual Grading manual_grading</v>
      </c>
      <c r="I569" s="9"/>
      <c r="J569" s="9"/>
      <c r="K569" s="8" t="s">
        <v>1361</v>
      </c>
      <c r="L569" s="8" t="s">
        <v>124</v>
      </c>
      <c r="M569" s="8" t="s">
        <v>601</v>
      </c>
      <c r="N569" s="9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</row>
    <row r="570" spans="1:31" x14ac:dyDescent="0.25">
      <c r="A570" s="7" t="s">
        <v>1362</v>
      </c>
      <c r="B570" s="8" t="s">
        <v>1363</v>
      </c>
      <c r="C570" s="8"/>
      <c r="D570" s="8" t="s">
        <v>1364</v>
      </c>
      <c r="E570" s="8" t="s">
        <v>1365</v>
      </c>
      <c r="F570" s="7" t="s">
        <v>26</v>
      </c>
      <c r="G570" s="9"/>
      <c r="H570" s="8" t="str">
        <f t="shared" si="4"/>
        <v>15.2. Machine Grading machine_grading</v>
      </c>
      <c r="I570" s="9"/>
      <c r="J570" s="9"/>
      <c r="K570" s="8" t="s">
        <v>1361</v>
      </c>
      <c r="L570" s="8" t="s">
        <v>124</v>
      </c>
      <c r="M570" s="8" t="s">
        <v>601</v>
      </c>
      <c r="N570" s="9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</row>
    <row r="571" spans="1:31" x14ac:dyDescent="0.25">
      <c r="A571" s="12" t="s">
        <v>1366</v>
      </c>
      <c r="B571" s="3"/>
      <c r="C571" s="2"/>
      <c r="D571" s="2" t="s">
        <v>1367</v>
      </c>
      <c r="E571" s="2" t="s">
        <v>1368</v>
      </c>
      <c r="F571" s="1" t="s">
        <v>96</v>
      </c>
      <c r="G571" s="3"/>
      <c r="H571" s="2" t="str">
        <f t="shared" si="4"/>
        <v xml:space="preserve">15.3. Branding-I </v>
      </c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x14ac:dyDescent="0.25">
      <c r="A572" s="7" t="s">
        <v>1366</v>
      </c>
      <c r="B572" s="8" t="s">
        <v>1369</v>
      </c>
      <c r="C572" s="8"/>
      <c r="D572" s="8" t="s">
        <v>1367</v>
      </c>
      <c r="E572" s="8" t="s">
        <v>1368</v>
      </c>
      <c r="F572" s="7" t="s">
        <v>26</v>
      </c>
      <c r="G572" s="9"/>
      <c r="H572" s="8" t="str">
        <f t="shared" si="4"/>
        <v>15.3. Branding-I branding1</v>
      </c>
      <c r="I572" s="9"/>
      <c r="J572" s="9"/>
      <c r="K572" s="9"/>
      <c r="L572" s="8" t="s">
        <v>124</v>
      </c>
      <c r="M572" s="9"/>
      <c r="N572" s="9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</row>
    <row r="573" spans="1:31" x14ac:dyDescent="0.25">
      <c r="A573" s="7" t="s">
        <v>1370</v>
      </c>
      <c r="B573" s="8" t="s">
        <v>1371</v>
      </c>
      <c r="C573" s="8"/>
      <c r="D573" s="8" t="s">
        <v>1372</v>
      </c>
      <c r="E573" s="8" t="s">
        <v>1373</v>
      </c>
      <c r="F573" s="7" t="s">
        <v>26</v>
      </c>
      <c r="G573" s="9"/>
      <c r="H573" s="8" t="str">
        <f t="shared" si="4"/>
        <v>15.3.1. Type of Brand branding1_type_of_brand</v>
      </c>
      <c r="I573" s="9"/>
      <c r="J573" s="9"/>
      <c r="K573" s="8" t="s">
        <v>1374</v>
      </c>
      <c r="L573" s="8" t="s">
        <v>312</v>
      </c>
      <c r="M573" s="9"/>
      <c r="N573" s="9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</row>
    <row r="574" spans="1:31" x14ac:dyDescent="0.25">
      <c r="A574" s="7" t="s">
        <v>1375</v>
      </c>
      <c r="B574" s="8" t="s">
        <v>1376</v>
      </c>
      <c r="C574" s="8"/>
      <c r="D574" s="8" t="s">
        <v>1377</v>
      </c>
      <c r="E574" s="8" t="s">
        <v>1378</v>
      </c>
      <c r="F574" s="7" t="s">
        <v>18</v>
      </c>
      <c r="G574" s="9"/>
      <c r="H574" s="8" t="str">
        <f t="shared" si="4"/>
        <v>15.3.1.1. Type of Brand - Other branding1_type_of_brand_other</v>
      </c>
      <c r="I574" s="9"/>
      <c r="J574" s="9"/>
      <c r="K574" s="8" t="s">
        <v>1379</v>
      </c>
      <c r="L574" s="9"/>
      <c r="M574" s="9"/>
      <c r="N574" s="9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</row>
    <row r="575" spans="1:31" x14ac:dyDescent="0.25">
      <c r="A575" s="7" t="s">
        <v>181</v>
      </c>
      <c r="B575" s="9"/>
      <c r="C575" s="8"/>
      <c r="D575" s="8" t="s">
        <v>1380</v>
      </c>
      <c r="E575" s="8" t="s">
        <v>1381</v>
      </c>
      <c r="F575" s="9"/>
      <c r="G575" s="9"/>
      <c r="H575" s="8" t="str">
        <f t="shared" si="4"/>
        <v xml:space="preserve"># Varieties </v>
      </c>
      <c r="I575" s="9"/>
      <c r="J575" s="9"/>
      <c r="K575" s="8" t="s">
        <v>1374</v>
      </c>
      <c r="L575" s="9"/>
      <c r="M575" s="9"/>
      <c r="N575" s="9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</row>
    <row r="576" spans="1:31" x14ac:dyDescent="0.25">
      <c r="A576" s="7" t="s">
        <v>1382</v>
      </c>
      <c r="B576" s="8" t="s">
        <v>1383</v>
      </c>
      <c r="C576" s="8"/>
      <c r="D576" s="8" t="s">
        <v>1384</v>
      </c>
      <c r="E576" s="8" t="s">
        <v>1385</v>
      </c>
      <c r="F576" s="7" t="s">
        <v>18</v>
      </c>
      <c r="G576" s="7" t="s">
        <v>128</v>
      </c>
      <c r="H576" s="8" t="str">
        <f t="shared" si="4"/>
        <v>15.3.2. Type of Grading - Varieties - KG branding1_varieties_kg</v>
      </c>
      <c r="I576" s="9"/>
      <c r="J576" s="9"/>
      <c r="K576" s="8" t="s">
        <v>1374</v>
      </c>
      <c r="L576" s="9"/>
      <c r="M576" s="9"/>
      <c r="N576" s="9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</row>
    <row r="577" spans="1:31" x14ac:dyDescent="0.25">
      <c r="A577" s="7" t="s">
        <v>1382</v>
      </c>
      <c r="B577" s="8" t="s">
        <v>1386</v>
      </c>
      <c r="C577" s="8"/>
      <c r="D577" s="8" t="s">
        <v>1387</v>
      </c>
      <c r="E577" s="8" t="s">
        <v>1388</v>
      </c>
      <c r="F577" s="7" t="s">
        <v>18</v>
      </c>
      <c r="G577" s="7" t="s">
        <v>128</v>
      </c>
      <c r="H577" s="8" t="str">
        <f t="shared" si="4"/>
        <v>15.3.2. Type of Grading - Varieties - Number branding1_varieties_number</v>
      </c>
      <c r="I577" s="9"/>
      <c r="J577" s="9"/>
      <c r="K577" s="8" t="s">
        <v>1374</v>
      </c>
      <c r="L577" s="9"/>
      <c r="M577" s="9"/>
      <c r="N577" s="9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</row>
    <row r="578" spans="1:31" x14ac:dyDescent="0.25">
      <c r="A578" s="7" t="s">
        <v>1389</v>
      </c>
      <c r="B578" s="8" t="s">
        <v>1390</v>
      </c>
      <c r="C578" s="8"/>
      <c r="D578" s="8" t="s">
        <v>1391</v>
      </c>
      <c r="E578" s="8" t="s">
        <v>1392</v>
      </c>
      <c r="F578" s="7" t="s">
        <v>18</v>
      </c>
      <c r="G578" s="7" t="s">
        <v>128</v>
      </c>
      <c r="H578" s="8" t="str">
        <f t="shared" si="4"/>
        <v>15.3.3. Type of Grading - Varieties - Price / Unit branding1_varieties_price</v>
      </c>
      <c r="I578" s="9"/>
      <c r="J578" s="9"/>
      <c r="K578" s="8" t="s">
        <v>1374</v>
      </c>
      <c r="L578" s="9"/>
      <c r="M578" s="9"/>
      <c r="N578" s="9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</row>
    <row r="579" spans="1:31" x14ac:dyDescent="0.25">
      <c r="A579" s="23" t="s">
        <v>1393</v>
      </c>
      <c r="B579" s="8" t="s">
        <v>1394</v>
      </c>
      <c r="C579" s="8"/>
      <c r="D579" s="8" t="s">
        <v>1395</v>
      </c>
      <c r="E579" s="8" t="s">
        <v>1396</v>
      </c>
      <c r="F579" s="7" t="s">
        <v>1397</v>
      </c>
      <c r="G579" s="9"/>
      <c r="H579" s="9"/>
      <c r="I579" s="9"/>
      <c r="J579" s="9"/>
      <c r="K579" s="8" t="s">
        <v>1374</v>
      </c>
      <c r="L579" s="9"/>
      <c r="M579" s="9"/>
      <c r="N579" s="9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</row>
    <row r="580" spans="1:31" x14ac:dyDescent="0.25">
      <c r="A580" s="23" t="s">
        <v>1398</v>
      </c>
      <c r="B580" s="8" t="s">
        <v>1399</v>
      </c>
      <c r="C580" s="8"/>
      <c r="D580" s="8" t="s">
        <v>1400</v>
      </c>
      <c r="E580" s="8" t="s">
        <v>1401</v>
      </c>
      <c r="F580" s="7" t="s">
        <v>1402</v>
      </c>
      <c r="G580" s="9"/>
      <c r="H580" s="9"/>
      <c r="I580" s="9"/>
      <c r="J580" s="9"/>
      <c r="K580" s="8" t="s">
        <v>1374</v>
      </c>
      <c r="L580" s="9"/>
      <c r="M580" s="9"/>
      <c r="N580" s="9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</row>
    <row r="581" spans="1:31" x14ac:dyDescent="0.25">
      <c r="A581" s="23" t="s">
        <v>1403</v>
      </c>
      <c r="B581" s="8" t="s">
        <v>1404</v>
      </c>
      <c r="C581" s="8"/>
      <c r="D581" s="8" t="s">
        <v>1405</v>
      </c>
      <c r="E581" s="8" t="s">
        <v>1406</v>
      </c>
      <c r="F581" s="7" t="s">
        <v>1407</v>
      </c>
      <c r="G581" s="9"/>
      <c r="H581" s="9"/>
      <c r="I581" s="9"/>
      <c r="J581" s="9"/>
      <c r="K581" s="8" t="s">
        <v>1374</v>
      </c>
      <c r="L581" s="9"/>
      <c r="M581" s="9"/>
      <c r="N581" s="9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</row>
    <row r="582" spans="1:31" x14ac:dyDescent="0.25">
      <c r="A582" s="7" t="s">
        <v>181</v>
      </c>
      <c r="B582" s="9"/>
      <c r="C582" s="8"/>
      <c r="D582" s="8" t="s">
        <v>1408</v>
      </c>
      <c r="E582" s="8" t="s">
        <v>1409</v>
      </c>
      <c r="F582" s="9"/>
      <c r="G582" s="9"/>
      <c r="H582" s="8" t="str">
        <f t="shared" ref="H582:H606" si="5">CONCATENATE(A582, " ", D582, " ", B582)</f>
        <v xml:space="preserve"># Weight </v>
      </c>
      <c r="I582" s="9"/>
      <c r="J582" s="9"/>
      <c r="K582" s="8" t="s">
        <v>1374</v>
      </c>
      <c r="L582" s="9"/>
      <c r="M582" s="9"/>
      <c r="N582" s="9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</row>
    <row r="583" spans="1:31" x14ac:dyDescent="0.25">
      <c r="A583" s="7" t="s">
        <v>1410</v>
      </c>
      <c r="B583" s="8" t="s">
        <v>1411</v>
      </c>
      <c r="C583" s="8"/>
      <c r="D583" s="8" t="s">
        <v>1412</v>
      </c>
      <c r="E583" s="8" t="s">
        <v>1413</v>
      </c>
      <c r="F583" s="7" t="s">
        <v>26</v>
      </c>
      <c r="G583" s="9"/>
      <c r="H583" s="8" t="str">
        <f t="shared" si="5"/>
        <v>15.3.4. Type of Grading - Weight 250 Grams branding1_weight250_confirm</v>
      </c>
      <c r="I583" s="9"/>
      <c r="J583" s="9"/>
      <c r="K583" s="8" t="s">
        <v>1374</v>
      </c>
      <c r="L583" s="8" t="s">
        <v>124</v>
      </c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</row>
    <row r="584" spans="1:31" x14ac:dyDescent="0.25">
      <c r="A584" s="7" t="s">
        <v>1414</v>
      </c>
      <c r="B584" s="8" t="s">
        <v>1415</v>
      </c>
      <c r="C584" s="8"/>
      <c r="D584" s="8" t="s">
        <v>1416</v>
      </c>
      <c r="E584" s="8" t="s">
        <v>1417</v>
      </c>
      <c r="F584" s="7" t="s">
        <v>18</v>
      </c>
      <c r="G584" s="7" t="s">
        <v>128</v>
      </c>
      <c r="H584" s="8" t="str">
        <f t="shared" si="5"/>
        <v>15.3.4.1. Type of Grading - Weight 250 Grams - Number branding1_weight250_number</v>
      </c>
      <c r="I584" s="9"/>
      <c r="J584" s="9"/>
      <c r="K584" s="8" t="s">
        <v>1418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</row>
    <row r="585" spans="1:31" x14ac:dyDescent="0.25">
      <c r="A585" s="7" t="s">
        <v>1419</v>
      </c>
      <c r="B585" s="8" t="s">
        <v>1420</v>
      </c>
      <c r="C585" s="8"/>
      <c r="D585" s="8" t="s">
        <v>1421</v>
      </c>
      <c r="E585" s="8" t="s">
        <v>1422</v>
      </c>
      <c r="F585" s="7" t="s">
        <v>18</v>
      </c>
      <c r="G585" s="7" t="s">
        <v>128</v>
      </c>
      <c r="H585" s="8" t="str">
        <f t="shared" si="5"/>
        <v>15.3.4.2. Type of Grading - Weight 250 Grams - Price / Unit branding1_weight250_price</v>
      </c>
      <c r="I585" s="9"/>
      <c r="J585" s="9"/>
      <c r="K585" s="8" t="s">
        <v>1418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</row>
    <row r="586" spans="1:31" x14ac:dyDescent="0.25">
      <c r="A586" s="7" t="s">
        <v>1423</v>
      </c>
      <c r="B586" s="8" t="s">
        <v>1424</v>
      </c>
      <c r="C586" s="8"/>
      <c r="D586" s="8" t="s">
        <v>1425</v>
      </c>
      <c r="E586" s="8" t="s">
        <v>1426</v>
      </c>
      <c r="F586" s="7" t="s">
        <v>26</v>
      </c>
      <c r="G586" s="9"/>
      <c r="H586" s="8" t="str">
        <f t="shared" si="5"/>
        <v>15.3.5. Type of Grading - Weight 500 Grams branding1_weight500_confirm</v>
      </c>
      <c r="I586" s="9"/>
      <c r="J586" s="9"/>
      <c r="K586" s="8" t="s">
        <v>1374</v>
      </c>
      <c r="L586" s="8" t="s">
        <v>124</v>
      </c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</row>
    <row r="587" spans="1:31" x14ac:dyDescent="0.25">
      <c r="A587" s="7" t="s">
        <v>1427</v>
      </c>
      <c r="B587" s="8" t="s">
        <v>1428</v>
      </c>
      <c r="C587" s="8"/>
      <c r="D587" s="8" t="s">
        <v>1429</v>
      </c>
      <c r="E587" s="8" t="s">
        <v>1430</v>
      </c>
      <c r="F587" s="7" t="s">
        <v>18</v>
      </c>
      <c r="G587" s="7" t="s">
        <v>128</v>
      </c>
      <c r="H587" s="8" t="str">
        <f t="shared" si="5"/>
        <v>15.3.5.1. Type of Grading - Weight 500 Grams - Number branding1_weight500_number</v>
      </c>
      <c r="I587" s="9"/>
      <c r="J587" s="9"/>
      <c r="K587" s="8" t="s">
        <v>1431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</row>
    <row r="588" spans="1:31" x14ac:dyDescent="0.25">
      <c r="A588" s="7" t="s">
        <v>1432</v>
      </c>
      <c r="B588" s="8" t="s">
        <v>1433</v>
      </c>
      <c r="C588" s="8"/>
      <c r="D588" s="8" t="s">
        <v>1434</v>
      </c>
      <c r="E588" s="8" t="s">
        <v>1435</v>
      </c>
      <c r="F588" s="7" t="s">
        <v>18</v>
      </c>
      <c r="G588" s="7" t="s">
        <v>128</v>
      </c>
      <c r="H588" s="8" t="str">
        <f t="shared" si="5"/>
        <v>15.3.5.2. Type of Grading - Weight 500 Grams - Price / Unit branding1_weight500_price</v>
      </c>
      <c r="I588" s="9"/>
      <c r="J588" s="9"/>
      <c r="K588" s="8" t="s">
        <v>1431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</row>
    <row r="589" spans="1:31" x14ac:dyDescent="0.25">
      <c r="A589" s="7" t="s">
        <v>1436</v>
      </c>
      <c r="B589" s="8" t="s">
        <v>1437</v>
      </c>
      <c r="C589" s="8"/>
      <c r="D589" s="8" t="s">
        <v>1438</v>
      </c>
      <c r="E589" s="8" t="s">
        <v>1439</v>
      </c>
      <c r="F589" s="7" t="s">
        <v>26</v>
      </c>
      <c r="G589" s="9"/>
      <c r="H589" s="8" t="str">
        <f t="shared" si="5"/>
        <v>15.3.6. Type of Grading - Weight 1 Kg branding1_weight1000_confirm</v>
      </c>
      <c r="I589" s="9"/>
      <c r="J589" s="9"/>
      <c r="K589" s="8" t="s">
        <v>1374</v>
      </c>
      <c r="L589" s="8" t="s">
        <v>124</v>
      </c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</row>
    <row r="590" spans="1:31" x14ac:dyDescent="0.25">
      <c r="A590" s="7" t="s">
        <v>1440</v>
      </c>
      <c r="B590" s="8" t="s">
        <v>1441</v>
      </c>
      <c r="C590" s="8"/>
      <c r="D590" s="8" t="s">
        <v>1442</v>
      </c>
      <c r="E590" s="8" t="s">
        <v>1443</v>
      </c>
      <c r="F590" s="7" t="s">
        <v>18</v>
      </c>
      <c r="G590" s="7" t="s">
        <v>128</v>
      </c>
      <c r="H590" s="8" t="str">
        <f t="shared" si="5"/>
        <v>15.3.6.1. Type of Grading - Weight 1 Kg - Number branding1_weight1000_number</v>
      </c>
      <c r="I590" s="9"/>
      <c r="J590" s="9"/>
      <c r="K590" s="8" t="s">
        <v>1444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</row>
    <row r="591" spans="1:31" x14ac:dyDescent="0.25">
      <c r="A591" s="7" t="s">
        <v>1445</v>
      </c>
      <c r="B591" s="8" t="s">
        <v>1446</v>
      </c>
      <c r="C591" s="8"/>
      <c r="D591" s="8" t="s">
        <v>1447</v>
      </c>
      <c r="E591" s="8" t="s">
        <v>1448</v>
      </c>
      <c r="F591" s="7" t="s">
        <v>18</v>
      </c>
      <c r="G591" s="7" t="s">
        <v>128</v>
      </c>
      <c r="H591" s="8" t="str">
        <f t="shared" si="5"/>
        <v>15.3.6.2. Type of Grading - Weight 1 Kg - Price / Unit branding1_weight1000_price</v>
      </c>
      <c r="I591" s="9"/>
      <c r="J591" s="9"/>
      <c r="K591" s="8" t="s">
        <v>1444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</row>
    <row r="592" spans="1:31" x14ac:dyDescent="0.25">
      <c r="A592" s="7" t="s">
        <v>181</v>
      </c>
      <c r="B592" s="9"/>
      <c r="C592" s="8"/>
      <c r="D592" s="8" t="s">
        <v>1449</v>
      </c>
      <c r="E592" s="8" t="s">
        <v>1450</v>
      </c>
      <c r="F592" s="9"/>
      <c r="G592" s="9"/>
      <c r="H592" s="8" t="str">
        <f t="shared" si="5"/>
        <v xml:space="preserve"># Color </v>
      </c>
      <c r="I592" s="9"/>
      <c r="J592" s="9"/>
      <c r="K592" s="8" t="s">
        <v>1374</v>
      </c>
      <c r="L592" s="9"/>
      <c r="M592" s="9"/>
      <c r="N592" s="9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</row>
    <row r="593" spans="1:31" x14ac:dyDescent="0.25">
      <c r="A593" s="7" t="s">
        <v>1451</v>
      </c>
      <c r="B593" s="8" t="s">
        <v>1452</v>
      </c>
      <c r="C593" s="8"/>
      <c r="D593" s="8" t="s">
        <v>1453</v>
      </c>
      <c r="E593" s="8" t="s">
        <v>1454</v>
      </c>
      <c r="F593" s="7" t="s">
        <v>18</v>
      </c>
      <c r="G593" s="9"/>
      <c r="H593" s="8" t="str">
        <f t="shared" si="5"/>
        <v>15.3.7. Type of Grading - Color(Yellow) - Number branding1_colyellow_number</v>
      </c>
      <c r="I593" s="9"/>
      <c r="J593" s="9"/>
      <c r="K593" s="8" t="s">
        <v>1374</v>
      </c>
      <c r="L593" s="9"/>
      <c r="M593" s="9"/>
      <c r="N593" s="9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</row>
    <row r="594" spans="1:31" x14ac:dyDescent="0.25">
      <c r="A594" s="7" t="s">
        <v>1455</v>
      </c>
      <c r="B594" s="8" t="s">
        <v>1456</v>
      </c>
      <c r="C594" s="8"/>
      <c r="D594" s="8" t="s">
        <v>1457</v>
      </c>
      <c r="E594" s="8" t="s">
        <v>1458</v>
      </c>
      <c r="F594" s="7" t="s">
        <v>18</v>
      </c>
      <c r="G594" s="9"/>
      <c r="H594" s="8" t="str">
        <f t="shared" si="5"/>
        <v>15.3.8. Type of Grading - Color(Yellow) - Price branding1_colyellow_price</v>
      </c>
      <c r="I594" s="9"/>
      <c r="J594" s="9"/>
      <c r="K594" s="8" t="s">
        <v>1374</v>
      </c>
      <c r="L594" s="9"/>
      <c r="M594" s="9"/>
      <c r="N594" s="9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</row>
    <row r="595" spans="1:31" x14ac:dyDescent="0.25">
      <c r="A595" s="7" t="s">
        <v>1459</v>
      </c>
      <c r="B595" s="8" t="s">
        <v>1460</v>
      </c>
      <c r="C595" s="8"/>
      <c r="D595" s="8" t="s">
        <v>1461</v>
      </c>
      <c r="E595" s="8" t="s">
        <v>1462</v>
      </c>
      <c r="F595" s="7" t="s">
        <v>18</v>
      </c>
      <c r="G595" s="9"/>
      <c r="H595" s="8" t="str">
        <f t="shared" si="5"/>
        <v>15.3.9. Type of Grading - Color(Reddish Brown) - Number branding1_colrbrown_number</v>
      </c>
      <c r="I595" s="9"/>
      <c r="J595" s="9"/>
      <c r="K595" s="8" t="s">
        <v>1374</v>
      </c>
      <c r="L595" s="9"/>
      <c r="M595" s="9"/>
      <c r="N595" s="9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</row>
    <row r="596" spans="1:31" x14ac:dyDescent="0.25">
      <c r="A596" s="7" t="s">
        <v>1463</v>
      </c>
      <c r="B596" s="8" t="s">
        <v>1464</v>
      </c>
      <c r="C596" s="8"/>
      <c r="D596" s="8" t="s">
        <v>1465</v>
      </c>
      <c r="E596" s="8" t="s">
        <v>1466</v>
      </c>
      <c r="F596" s="7" t="s">
        <v>18</v>
      </c>
      <c r="G596" s="9"/>
      <c r="H596" s="8" t="str">
        <f t="shared" si="5"/>
        <v>15.3.10. Type of Grading - Color(Reddish Brown) - Price branding1_colrbrown_price</v>
      </c>
      <c r="I596" s="9"/>
      <c r="J596" s="9"/>
      <c r="K596" s="8" t="s">
        <v>1374</v>
      </c>
      <c r="L596" s="9"/>
      <c r="M596" s="9"/>
      <c r="N596" s="9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</row>
    <row r="597" spans="1:31" x14ac:dyDescent="0.25">
      <c r="A597" s="7" t="s">
        <v>1467</v>
      </c>
      <c r="B597" s="8" t="s">
        <v>1468</v>
      </c>
      <c r="C597" s="8"/>
      <c r="D597" s="8" t="s">
        <v>1469</v>
      </c>
      <c r="E597" s="8" t="s">
        <v>1470</v>
      </c>
      <c r="F597" s="7" t="s">
        <v>18</v>
      </c>
      <c r="G597" s="9"/>
      <c r="H597" s="8" t="str">
        <f t="shared" si="5"/>
        <v>15.3.11. Type of Grading - Color(Dark Brown) - Number branding1_coldbrown_number</v>
      </c>
      <c r="I597" s="9"/>
      <c r="J597" s="9"/>
      <c r="K597" s="8" t="s">
        <v>1374</v>
      </c>
      <c r="L597" s="9"/>
      <c r="M597" s="9"/>
      <c r="N597" s="9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</row>
    <row r="598" spans="1:31" x14ac:dyDescent="0.25">
      <c r="A598" s="7" t="s">
        <v>1471</v>
      </c>
      <c r="B598" s="8" t="s">
        <v>1472</v>
      </c>
      <c r="C598" s="8"/>
      <c r="D598" s="8" t="s">
        <v>1473</v>
      </c>
      <c r="E598" s="8" t="s">
        <v>1474</v>
      </c>
      <c r="F598" s="7" t="s">
        <v>18</v>
      </c>
      <c r="G598" s="9"/>
      <c r="H598" s="8" t="str">
        <f t="shared" si="5"/>
        <v>15.3.12. Type of Grading - Color(Dard Brown) - Price branding1_coldbrown_price</v>
      </c>
      <c r="I598" s="9"/>
      <c r="J598" s="9"/>
      <c r="K598" s="8" t="s">
        <v>1374</v>
      </c>
      <c r="L598" s="9"/>
      <c r="M598" s="9"/>
      <c r="N598" s="9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</row>
    <row r="599" spans="1:31" x14ac:dyDescent="0.25">
      <c r="A599" s="12" t="s">
        <v>1475</v>
      </c>
      <c r="B599" s="3"/>
      <c r="C599" s="21"/>
      <c r="D599" s="21" t="s">
        <v>1476</v>
      </c>
      <c r="E599" s="21" t="s">
        <v>1477</v>
      </c>
      <c r="F599" s="12" t="s">
        <v>96</v>
      </c>
      <c r="G599" s="3"/>
      <c r="H599" s="21" t="str">
        <f t="shared" si="5"/>
        <v xml:space="preserve">15.4. Branding-II </v>
      </c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x14ac:dyDescent="0.25">
      <c r="A600" s="7" t="s">
        <v>1475</v>
      </c>
      <c r="B600" s="8" t="s">
        <v>1478</v>
      </c>
      <c r="C600" s="8"/>
      <c r="D600" s="8" t="s">
        <v>1476</v>
      </c>
      <c r="E600" s="8" t="s">
        <v>1477</v>
      </c>
      <c r="F600" s="7" t="s">
        <v>26</v>
      </c>
      <c r="G600" s="9"/>
      <c r="H600" s="8" t="str">
        <f t="shared" si="5"/>
        <v>15.4. Branding-II branding2</v>
      </c>
      <c r="I600" s="9"/>
      <c r="J600" s="9"/>
      <c r="K600" s="9"/>
      <c r="L600" s="8" t="s">
        <v>124</v>
      </c>
      <c r="M600" s="9"/>
      <c r="N600" s="9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</row>
    <row r="601" spans="1:31" x14ac:dyDescent="0.25">
      <c r="A601" s="7" t="s">
        <v>1479</v>
      </c>
      <c r="B601" s="8" t="s">
        <v>1480</v>
      </c>
      <c r="C601" s="8"/>
      <c r="D601" s="8" t="s">
        <v>1372</v>
      </c>
      <c r="E601" s="8" t="s">
        <v>1373</v>
      </c>
      <c r="F601" s="7" t="s">
        <v>26</v>
      </c>
      <c r="G601" s="9"/>
      <c r="H601" s="8" t="str">
        <f t="shared" si="5"/>
        <v>15.4.1. Type of Brand branding2_type_of_brand</v>
      </c>
      <c r="I601" s="9"/>
      <c r="J601" s="9"/>
      <c r="K601" s="8" t="s">
        <v>1481</v>
      </c>
      <c r="L601" s="8" t="s">
        <v>312</v>
      </c>
      <c r="M601" s="9"/>
      <c r="N601" s="9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</row>
    <row r="602" spans="1:31" x14ac:dyDescent="0.25">
      <c r="A602" s="7" t="s">
        <v>1482</v>
      </c>
      <c r="B602" s="8" t="s">
        <v>1483</v>
      </c>
      <c r="C602" s="8"/>
      <c r="D602" s="8" t="s">
        <v>1377</v>
      </c>
      <c r="E602" s="8" t="s">
        <v>1378</v>
      </c>
      <c r="F602" s="7" t="s">
        <v>18</v>
      </c>
      <c r="G602" s="9"/>
      <c r="H602" s="8" t="str">
        <f t="shared" si="5"/>
        <v>15.4.1.1. Type of Brand - Other branding2_type_of_brand_other</v>
      </c>
      <c r="I602" s="9"/>
      <c r="J602" s="9"/>
      <c r="K602" s="8" t="s">
        <v>1484</v>
      </c>
      <c r="L602" s="9"/>
      <c r="M602" s="9"/>
      <c r="N602" s="9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</row>
    <row r="603" spans="1:31" x14ac:dyDescent="0.25">
      <c r="A603" s="7" t="s">
        <v>181</v>
      </c>
      <c r="B603" s="9"/>
      <c r="C603" s="8"/>
      <c r="D603" s="8" t="s">
        <v>1380</v>
      </c>
      <c r="E603" s="8" t="s">
        <v>1381</v>
      </c>
      <c r="F603" s="9"/>
      <c r="G603" s="9"/>
      <c r="H603" s="8" t="str">
        <f t="shared" si="5"/>
        <v xml:space="preserve"># Varieties </v>
      </c>
      <c r="I603" s="9"/>
      <c r="J603" s="9"/>
      <c r="K603" s="8" t="s">
        <v>1481</v>
      </c>
      <c r="L603" s="9"/>
      <c r="M603" s="9"/>
      <c r="N603" s="9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</row>
    <row r="604" spans="1:31" x14ac:dyDescent="0.25">
      <c r="A604" s="7" t="s">
        <v>1485</v>
      </c>
      <c r="B604" s="8" t="s">
        <v>1486</v>
      </c>
      <c r="C604" s="8"/>
      <c r="D604" s="8" t="s">
        <v>1384</v>
      </c>
      <c r="E604" s="8" t="s">
        <v>1385</v>
      </c>
      <c r="F604" s="7" t="s">
        <v>18</v>
      </c>
      <c r="G604" s="7" t="s">
        <v>128</v>
      </c>
      <c r="H604" s="8" t="str">
        <f t="shared" si="5"/>
        <v>15.4.2. Type of Grading - Varieties - KG branding2_varieties_kg</v>
      </c>
      <c r="I604" s="9"/>
      <c r="J604" s="9"/>
      <c r="K604" s="8" t="s">
        <v>1481</v>
      </c>
      <c r="L604" s="9"/>
      <c r="M604" s="9"/>
      <c r="N604" s="9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</row>
    <row r="605" spans="1:31" x14ac:dyDescent="0.25">
      <c r="A605" s="7" t="s">
        <v>1485</v>
      </c>
      <c r="B605" s="8" t="s">
        <v>1487</v>
      </c>
      <c r="C605" s="8"/>
      <c r="D605" s="8" t="s">
        <v>1387</v>
      </c>
      <c r="E605" s="8" t="s">
        <v>1388</v>
      </c>
      <c r="F605" s="7" t="s">
        <v>18</v>
      </c>
      <c r="G605" s="7" t="s">
        <v>128</v>
      </c>
      <c r="H605" s="8" t="str">
        <f t="shared" si="5"/>
        <v>15.4.2. Type of Grading - Varieties - Number branding2_varieties_number</v>
      </c>
      <c r="I605" s="9"/>
      <c r="J605" s="9"/>
      <c r="K605" s="8" t="s">
        <v>1481</v>
      </c>
      <c r="L605" s="9"/>
      <c r="M605" s="9"/>
      <c r="N605" s="9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</row>
    <row r="606" spans="1:31" x14ac:dyDescent="0.25">
      <c r="A606" s="7" t="s">
        <v>1488</v>
      </c>
      <c r="B606" s="8" t="s">
        <v>1489</v>
      </c>
      <c r="C606" s="8"/>
      <c r="D606" s="8" t="s">
        <v>1391</v>
      </c>
      <c r="E606" s="8" t="s">
        <v>1392</v>
      </c>
      <c r="F606" s="7" t="s">
        <v>18</v>
      </c>
      <c r="G606" s="7" t="s">
        <v>128</v>
      </c>
      <c r="H606" s="8" t="str">
        <f t="shared" si="5"/>
        <v>15.4.3. Type of Grading - Varieties - Price / Unit branding2_varieties_price</v>
      </c>
      <c r="I606" s="9"/>
      <c r="J606" s="9"/>
      <c r="K606" s="8" t="s">
        <v>1481</v>
      </c>
      <c r="L606" s="9"/>
      <c r="M606" s="9"/>
      <c r="N606" s="9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</row>
    <row r="607" spans="1:31" x14ac:dyDescent="0.25">
      <c r="A607" s="23" t="s">
        <v>1490</v>
      </c>
      <c r="B607" s="8" t="s">
        <v>1491</v>
      </c>
      <c r="C607" s="8"/>
      <c r="D607" s="8" t="s">
        <v>1492</v>
      </c>
      <c r="E607" s="8" t="s">
        <v>1493</v>
      </c>
      <c r="F607" s="7" t="s">
        <v>1494</v>
      </c>
      <c r="G607" s="9"/>
      <c r="H607" s="9"/>
      <c r="I607" s="9"/>
      <c r="J607" s="9"/>
      <c r="K607" s="8" t="s">
        <v>1481</v>
      </c>
      <c r="L607" s="9"/>
      <c r="M607" s="9"/>
      <c r="N607" s="9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</row>
    <row r="608" spans="1:31" x14ac:dyDescent="0.25">
      <c r="A608" s="23" t="s">
        <v>1495</v>
      </c>
      <c r="B608" s="8" t="s">
        <v>1496</v>
      </c>
      <c r="C608" s="8"/>
      <c r="D608" s="8" t="s">
        <v>1497</v>
      </c>
      <c r="E608" s="8" t="s">
        <v>1498</v>
      </c>
      <c r="F608" s="7" t="s">
        <v>1499</v>
      </c>
      <c r="G608" s="9"/>
      <c r="H608" s="9"/>
      <c r="I608" s="9"/>
      <c r="J608" s="9"/>
      <c r="K608" s="8" t="s">
        <v>1481</v>
      </c>
      <c r="L608" s="9"/>
      <c r="M608" s="9"/>
      <c r="N608" s="9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</row>
    <row r="609" spans="1:31" x14ac:dyDescent="0.25">
      <c r="A609" s="23" t="s">
        <v>1500</v>
      </c>
      <c r="B609" s="8" t="s">
        <v>1501</v>
      </c>
      <c r="C609" s="8"/>
      <c r="D609" s="8" t="s">
        <v>1502</v>
      </c>
      <c r="E609" s="8" t="s">
        <v>1503</v>
      </c>
      <c r="F609" s="7" t="s">
        <v>1504</v>
      </c>
      <c r="G609" s="9"/>
      <c r="H609" s="9"/>
      <c r="I609" s="9"/>
      <c r="J609" s="9"/>
      <c r="K609" s="8" t="s">
        <v>1481</v>
      </c>
      <c r="L609" s="9"/>
      <c r="M609" s="9"/>
      <c r="N609" s="9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</row>
    <row r="610" spans="1:31" x14ac:dyDescent="0.25">
      <c r="A610" s="7" t="s">
        <v>181</v>
      </c>
      <c r="B610" s="9"/>
      <c r="C610" s="8"/>
      <c r="D610" s="8" t="s">
        <v>1505</v>
      </c>
      <c r="E610" s="8" t="s">
        <v>1409</v>
      </c>
      <c r="F610" s="9"/>
      <c r="G610" s="9"/>
      <c r="H610" s="8" t="str">
        <f t="shared" ref="H610:H634" si="6">CONCATENATE(A610, " ", D610, " ", B610)</f>
        <v xml:space="preserve"># Weight  </v>
      </c>
      <c r="I610" s="9"/>
      <c r="J610" s="9"/>
      <c r="K610" s="8" t="s">
        <v>1481</v>
      </c>
      <c r="L610" s="9"/>
      <c r="M610" s="9"/>
      <c r="N610" s="9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</row>
    <row r="611" spans="1:31" x14ac:dyDescent="0.25">
      <c r="A611" s="7" t="s">
        <v>1506</v>
      </c>
      <c r="B611" s="8" t="s">
        <v>1507</v>
      </c>
      <c r="C611" s="8"/>
      <c r="D611" s="8" t="s">
        <v>1412</v>
      </c>
      <c r="E611" s="8" t="s">
        <v>1413</v>
      </c>
      <c r="F611" s="7" t="s">
        <v>26</v>
      </c>
      <c r="G611" s="9"/>
      <c r="H611" s="8" t="str">
        <f t="shared" si="6"/>
        <v>15.4.4. Type of Grading - Weight 250 Grams branding2_weight250_confirm</v>
      </c>
      <c r="I611" s="9"/>
      <c r="J611" s="9"/>
      <c r="K611" s="8" t="s">
        <v>1481</v>
      </c>
      <c r="L611" s="8" t="s">
        <v>124</v>
      </c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</row>
    <row r="612" spans="1:31" x14ac:dyDescent="0.25">
      <c r="A612" s="7" t="s">
        <v>1508</v>
      </c>
      <c r="B612" s="8" t="s">
        <v>1509</v>
      </c>
      <c r="C612" s="8"/>
      <c r="D612" s="8" t="s">
        <v>1416</v>
      </c>
      <c r="E612" s="8" t="s">
        <v>1417</v>
      </c>
      <c r="F612" s="7" t="s">
        <v>18</v>
      </c>
      <c r="G612" s="7" t="s">
        <v>128</v>
      </c>
      <c r="H612" s="8" t="str">
        <f t="shared" si="6"/>
        <v>15.4.4.1. Type of Grading - Weight 250 Grams - Number branding2_weight250_number</v>
      </c>
      <c r="I612" s="9"/>
      <c r="J612" s="9"/>
      <c r="K612" s="8" t="s">
        <v>1510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</row>
    <row r="613" spans="1:31" x14ac:dyDescent="0.25">
      <c r="A613" s="7" t="s">
        <v>1511</v>
      </c>
      <c r="B613" s="8" t="s">
        <v>1512</v>
      </c>
      <c r="C613" s="8"/>
      <c r="D613" s="8" t="s">
        <v>1421</v>
      </c>
      <c r="E613" s="8" t="s">
        <v>1422</v>
      </c>
      <c r="F613" s="7" t="s">
        <v>18</v>
      </c>
      <c r="G613" s="7" t="s">
        <v>128</v>
      </c>
      <c r="H613" s="8" t="str">
        <f t="shared" si="6"/>
        <v>15.4.4.2. Type of Grading - Weight 250 Grams - Price / Unit branding2_weight250_price</v>
      </c>
      <c r="I613" s="9"/>
      <c r="J613" s="9"/>
      <c r="K613" s="8" t="s">
        <v>1510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</row>
    <row r="614" spans="1:31" x14ac:dyDescent="0.25">
      <c r="A614" s="7" t="s">
        <v>1513</v>
      </c>
      <c r="B614" s="8" t="s">
        <v>1514</v>
      </c>
      <c r="C614" s="8"/>
      <c r="D614" s="8" t="s">
        <v>1425</v>
      </c>
      <c r="E614" s="8" t="s">
        <v>1426</v>
      </c>
      <c r="F614" s="7" t="s">
        <v>26</v>
      </c>
      <c r="G614" s="9"/>
      <c r="H614" s="8" t="str">
        <f t="shared" si="6"/>
        <v>15.4.5. Type of Grading - Weight 500 Grams branding2_weight500_confirm</v>
      </c>
      <c r="I614" s="9"/>
      <c r="J614" s="9"/>
      <c r="K614" s="8" t="s">
        <v>1481</v>
      </c>
      <c r="L614" s="8" t="s">
        <v>124</v>
      </c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</row>
    <row r="615" spans="1:31" x14ac:dyDescent="0.25">
      <c r="A615" s="7" t="s">
        <v>1515</v>
      </c>
      <c r="B615" s="8" t="s">
        <v>1516</v>
      </c>
      <c r="C615" s="8"/>
      <c r="D615" s="8" t="s">
        <v>1429</v>
      </c>
      <c r="E615" s="8" t="s">
        <v>1430</v>
      </c>
      <c r="F615" s="7" t="s">
        <v>18</v>
      </c>
      <c r="G615" s="7" t="s">
        <v>128</v>
      </c>
      <c r="H615" s="8" t="str">
        <f t="shared" si="6"/>
        <v>15.4.5.1. Type of Grading - Weight 500 Grams - Number branding2_weight500_number</v>
      </c>
      <c r="I615" s="9"/>
      <c r="J615" s="9"/>
      <c r="K615" s="8" t="s">
        <v>1517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</row>
    <row r="616" spans="1:31" x14ac:dyDescent="0.25">
      <c r="A616" s="7" t="s">
        <v>1518</v>
      </c>
      <c r="B616" s="8" t="s">
        <v>1519</v>
      </c>
      <c r="C616" s="8"/>
      <c r="D616" s="8" t="s">
        <v>1434</v>
      </c>
      <c r="E616" s="8" t="s">
        <v>1435</v>
      </c>
      <c r="F616" s="7" t="s">
        <v>18</v>
      </c>
      <c r="G616" s="7" t="s">
        <v>128</v>
      </c>
      <c r="H616" s="8" t="str">
        <f t="shared" si="6"/>
        <v>15.4.5.2. Type of Grading - Weight 500 Grams - Price / Unit branding2_weight500_price</v>
      </c>
      <c r="I616" s="9"/>
      <c r="J616" s="9"/>
      <c r="K616" s="8" t="s">
        <v>1517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</row>
    <row r="617" spans="1:31" x14ac:dyDescent="0.25">
      <c r="A617" s="7" t="s">
        <v>1520</v>
      </c>
      <c r="B617" s="8" t="s">
        <v>1521</v>
      </c>
      <c r="C617" s="8"/>
      <c r="D617" s="8" t="s">
        <v>1438</v>
      </c>
      <c r="E617" s="8" t="s">
        <v>1439</v>
      </c>
      <c r="F617" s="7" t="s">
        <v>26</v>
      </c>
      <c r="G617" s="9"/>
      <c r="H617" s="8" t="str">
        <f t="shared" si="6"/>
        <v>15.4.6. Type of Grading - Weight 1 Kg branding2_weight1000_confirm</v>
      </c>
      <c r="I617" s="9"/>
      <c r="J617" s="9"/>
      <c r="K617" s="8" t="s">
        <v>1481</v>
      </c>
      <c r="L617" s="8" t="s">
        <v>124</v>
      </c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</row>
    <row r="618" spans="1:31" x14ac:dyDescent="0.25">
      <c r="A618" s="7" t="s">
        <v>1522</v>
      </c>
      <c r="B618" s="8" t="s">
        <v>1523</v>
      </c>
      <c r="C618" s="8"/>
      <c r="D618" s="8" t="s">
        <v>1442</v>
      </c>
      <c r="E618" s="8" t="s">
        <v>1443</v>
      </c>
      <c r="F618" s="7" t="s">
        <v>18</v>
      </c>
      <c r="G618" s="7" t="s">
        <v>128</v>
      </c>
      <c r="H618" s="8" t="str">
        <f t="shared" si="6"/>
        <v>15.4.6.1. Type of Grading - Weight 1 Kg - Number branding2_weight1000_number</v>
      </c>
      <c r="I618" s="9"/>
      <c r="J618" s="9"/>
      <c r="K618" s="8" t="s">
        <v>1524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</row>
    <row r="619" spans="1:31" x14ac:dyDescent="0.25">
      <c r="A619" s="7" t="s">
        <v>1525</v>
      </c>
      <c r="B619" s="8" t="s">
        <v>1526</v>
      </c>
      <c r="C619" s="8"/>
      <c r="D619" s="8" t="s">
        <v>1447</v>
      </c>
      <c r="E619" s="8" t="s">
        <v>1448</v>
      </c>
      <c r="F619" s="7" t="s">
        <v>18</v>
      </c>
      <c r="G619" s="7" t="s">
        <v>128</v>
      </c>
      <c r="H619" s="8" t="str">
        <f t="shared" si="6"/>
        <v>15.4.6.2. Type of Grading - Weight 1 Kg - Price / Unit branding2_weight1000_price</v>
      </c>
      <c r="I619" s="9"/>
      <c r="J619" s="9"/>
      <c r="K619" s="8" t="s">
        <v>1524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</row>
    <row r="620" spans="1:31" x14ac:dyDescent="0.25">
      <c r="A620" s="7" t="s">
        <v>181</v>
      </c>
      <c r="B620" s="9"/>
      <c r="C620" s="8"/>
      <c r="D620" s="8" t="s">
        <v>1449</v>
      </c>
      <c r="E620" s="8" t="s">
        <v>1450</v>
      </c>
      <c r="F620" s="9"/>
      <c r="G620" s="9"/>
      <c r="H620" s="8" t="str">
        <f t="shared" si="6"/>
        <v xml:space="preserve"># Color </v>
      </c>
      <c r="I620" s="9"/>
      <c r="J620" s="9"/>
      <c r="K620" s="8" t="s">
        <v>1481</v>
      </c>
      <c r="L620" s="9"/>
      <c r="M620" s="9"/>
      <c r="N620" s="9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</row>
    <row r="621" spans="1:31" x14ac:dyDescent="0.25">
      <c r="A621" s="7" t="s">
        <v>1527</v>
      </c>
      <c r="B621" s="8" t="s">
        <v>1528</v>
      </c>
      <c r="C621" s="8"/>
      <c r="D621" s="8" t="s">
        <v>1453</v>
      </c>
      <c r="E621" s="8" t="s">
        <v>1454</v>
      </c>
      <c r="F621" s="7" t="s">
        <v>18</v>
      </c>
      <c r="G621" s="9"/>
      <c r="H621" s="8" t="str">
        <f t="shared" si="6"/>
        <v>15.4.7. Type of Grading - Color(Yellow) - Number branding2_colyellow_number</v>
      </c>
      <c r="I621" s="9"/>
      <c r="J621" s="9"/>
      <c r="K621" s="8" t="s">
        <v>1481</v>
      </c>
      <c r="L621" s="9"/>
      <c r="M621" s="9"/>
      <c r="N621" s="9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</row>
    <row r="622" spans="1:31" x14ac:dyDescent="0.25">
      <c r="A622" s="7" t="s">
        <v>1529</v>
      </c>
      <c r="B622" s="8" t="s">
        <v>1530</v>
      </c>
      <c r="C622" s="8"/>
      <c r="D622" s="8" t="s">
        <v>1457</v>
      </c>
      <c r="E622" s="8" t="s">
        <v>1458</v>
      </c>
      <c r="F622" s="7" t="s">
        <v>18</v>
      </c>
      <c r="G622" s="9"/>
      <c r="H622" s="8" t="str">
        <f t="shared" si="6"/>
        <v>15.4.8. Type of Grading - Color(Yellow) - Price branding2_colyellow_price</v>
      </c>
      <c r="I622" s="9"/>
      <c r="J622" s="9"/>
      <c r="K622" s="8" t="s">
        <v>1481</v>
      </c>
      <c r="L622" s="9"/>
      <c r="M622" s="9"/>
      <c r="N622" s="9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</row>
    <row r="623" spans="1:31" x14ac:dyDescent="0.25">
      <c r="A623" s="7" t="s">
        <v>1531</v>
      </c>
      <c r="B623" s="8" t="s">
        <v>1532</v>
      </c>
      <c r="C623" s="8"/>
      <c r="D623" s="8" t="s">
        <v>1461</v>
      </c>
      <c r="E623" s="8" t="s">
        <v>1462</v>
      </c>
      <c r="F623" s="7" t="s">
        <v>18</v>
      </c>
      <c r="G623" s="9"/>
      <c r="H623" s="8" t="str">
        <f t="shared" si="6"/>
        <v>15.4.9. Type of Grading - Color(Reddish Brown) - Number branding2_colrbrown_number</v>
      </c>
      <c r="I623" s="9"/>
      <c r="J623" s="9"/>
      <c r="K623" s="8" t="s">
        <v>1481</v>
      </c>
      <c r="L623" s="9"/>
      <c r="M623" s="9"/>
      <c r="N623" s="9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</row>
    <row r="624" spans="1:31" x14ac:dyDescent="0.25">
      <c r="A624" s="7" t="s">
        <v>1533</v>
      </c>
      <c r="B624" s="8" t="s">
        <v>1534</v>
      </c>
      <c r="C624" s="8"/>
      <c r="D624" s="8" t="s">
        <v>1465</v>
      </c>
      <c r="E624" s="8" t="s">
        <v>1466</v>
      </c>
      <c r="F624" s="7" t="s">
        <v>18</v>
      </c>
      <c r="G624" s="9"/>
      <c r="H624" s="8" t="str">
        <f t="shared" si="6"/>
        <v>15.4.10. Type of Grading - Color(Reddish Brown) - Price branding2_colrbrown_price</v>
      </c>
      <c r="I624" s="9"/>
      <c r="J624" s="9"/>
      <c r="K624" s="8" t="s">
        <v>1481</v>
      </c>
      <c r="L624" s="9"/>
      <c r="M624" s="9"/>
      <c r="N624" s="9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</row>
    <row r="625" spans="1:31" x14ac:dyDescent="0.25">
      <c r="A625" s="7" t="s">
        <v>1535</v>
      </c>
      <c r="B625" s="8" t="s">
        <v>1536</v>
      </c>
      <c r="C625" s="8"/>
      <c r="D625" s="8" t="s">
        <v>1469</v>
      </c>
      <c r="E625" s="8" t="s">
        <v>1470</v>
      </c>
      <c r="F625" s="7" t="s">
        <v>18</v>
      </c>
      <c r="G625" s="9"/>
      <c r="H625" s="8" t="str">
        <f t="shared" si="6"/>
        <v>15.4.11. Type of Grading - Color(Dark Brown) - Number branding2_coldbrown_number</v>
      </c>
      <c r="I625" s="9"/>
      <c r="J625" s="9"/>
      <c r="K625" s="8" t="s">
        <v>1481</v>
      </c>
      <c r="L625" s="9"/>
      <c r="M625" s="9"/>
      <c r="N625" s="9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</row>
    <row r="626" spans="1:31" x14ac:dyDescent="0.25">
      <c r="A626" s="7" t="s">
        <v>1537</v>
      </c>
      <c r="B626" s="8" t="s">
        <v>1538</v>
      </c>
      <c r="C626" s="8"/>
      <c r="D626" s="8" t="s">
        <v>1473</v>
      </c>
      <c r="E626" s="8" t="s">
        <v>1474</v>
      </c>
      <c r="F626" s="7" t="s">
        <v>18</v>
      </c>
      <c r="G626" s="9"/>
      <c r="H626" s="8" t="str">
        <f t="shared" si="6"/>
        <v>15.4.12. Type of Grading - Color(Dard Brown) - Price branding2_coldbrown_price</v>
      </c>
      <c r="I626" s="9"/>
      <c r="J626" s="9"/>
      <c r="K626" s="8" t="s">
        <v>1481</v>
      </c>
      <c r="L626" s="9"/>
      <c r="M626" s="9"/>
      <c r="N626" s="9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</row>
    <row r="627" spans="1:31" x14ac:dyDescent="0.25">
      <c r="A627" s="12" t="s">
        <v>1539</v>
      </c>
      <c r="B627" s="3"/>
      <c r="C627" s="21"/>
      <c r="D627" s="21" t="s">
        <v>1540</v>
      </c>
      <c r="E627" s="21" t="s">
        <v>1541</v>
      </c>
      <c r="F627" s="12" t="s">
        <v>96</v>
      </c>
      <c r="G627" s="3"/>
      <c r="H627" s="21" t="str">
        <f t="shared" si="6"/>
        <v xml:space="preserve">15.5. Branding-III </v>
      </c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x14ac:dyDescent="0.25">
      <c r="A628" s="7" t="s">
        <v>1539</v>
      </c>
      <c r="B628" s="8" t="s">
        <v>1542</v>
      </c>
      <c r="C628" s="8"/>
      <c r="D628" s="8" t="s">
        <v>1540</v>
      </c>
      <c r="E628" s="8" t="s">
        <v>1541</v>
      </c>
      <c r="F628" s="7" t="s">
        <v>26</v>
      </c>
      <c r="G628" s="9"/>
      <c r="H628" s="8" t="str">
        <f t="shared" si="6"/>
        <v>15.5. Branding-III branding3</v>
      </c>
      <c r="I628" s="9"/>
      <c r="J628" s="9"/>
      <c r="K628" s="9"/>
      <c r="L628" s="8" t="s">
        <v>124</v>
      </c>
      <c r="M628" s="9"/>
      <c r="N628" s="9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</row>
    <row r="629" spans="1:31" x14ac:dyDescent="0.25">
      <c r="A629" s="7" t="s">
        <v>1543</v>
      </c>
      <c r="B629" s="8" t="s">
        <v>1544</v>
      </c>
      <c r="C629" s="8"/>
      <c r="D629" s="8" t="s">
        <v>1372</v>
      </c>
      <c r="E629" s="8" t="s">
        <v>1373</v>
      </c>
      <c r="F629" s="7" t="s">
        <v>26</v>
      </c>
      <c r="G629" s="9"/>
      <c r="H629" s="8" t="str">
        <f t="shared" si="6"/>
        <v>15.5.1. Type of Brand branding3_type_of_brand</v>
      </c>
      <c r="I629" s="9"/>
      <c r="J629" s="9"/>
      <c r="K629" s="8" t="s">
        <v>1545</v>
      </c>
      <c r="L629" s="8" t="s">
        <v>312</v>
      </c>
      <c r="M629" s="9"/>
      <c r="N629" s="9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</row>
    <row r="630" spans="1:31" x14ac:dyDescent="0.25">
      <c r="A630" s="7" t="s">
        <v>1546</v>
      </c>
      <c r="B630" s="8" t="s">
        <v>1547</v>
      </c>
      <c r="C630" s="8"/>
      <c r="D630" s="8" t="s">
        <v>1377</v>
      </c>
      <c r="E630" s="8" t="s">
        <v>1378</v>
      </c>
      <c r="F630" s="7" t="s">
        <v>18</v>
      </c>
      <c r="G630" s="9"/>
      <c r="H630" s="8" t="str">
        <f t="shared" si="6"/>
        <v>15.5.1.1. Type of Brand - Other branding3_type_of_brand_other</v>
      </c>
      <c r="I630" s="9"/>
      <c r="J630" s="9"/>
      <c r="K630" s="8" t="s">
        <v>1548</v>
      </c>
      <c r="L630" s="9"/>
      <c r="M630" s="9"/>
      <c r="N630" s="9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</row>
    <row r="631" spans="1:31" x14ac:dyDescent="0.25">
      <c r="A631" s="7" t="s">
        <v>181</v>
      </c>
      <c r="B631" s="9"/>
      <c r="C631" s="8"/>
      <c r="D631" s="8" t="s">
        <v>1380</v>
      </c>
      <c r="E631" s="8" t="s">
        <v>1381</v>
      </c>
      <c r="F631" s="9"/>
      <c r="G631" s="9"/>
      <c r="H631" s="8" t="str">
        <f t="shared" si="6"/>
        <v xml:space="preserve"># Varieties </v>
      </c>
      <c r="I631" s="9"/>
      <c r="J631" s="9"/>
      <c r="K631" s="8" t="s">
        <v>1545</v>
      </c>
      <c r="L631" s="9"/>
      <c r="M631" s="9"/>
      <c r="N631" s="9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</row>
    <row r="632" spans="1:31" x14ac:dyDescent="0.25">
      <c r="A632" s="7" t="s">
        <v>1549</v>
      </c>
      <c r="B632" s="8" t="s">
        <v>1550</v>
      </c>
      <c r="C632" s="8"/>
      <c r="D632" s="8" t="s">
        <v>1384</v>
      </c>
      <c r="E632" s="8" t="s">
        <v>1385</v>
      </c>
      <c r="F632" s="7" t="s">
        <v>18</v>
      </c>
      <c r="G632" s="7" t="s">
        <v>128</v>
      </c>
      <c r="H632" s="8" t="str">
        <f t="shared" si="6"/>
        <v>15.5.2. Type of Grading - Varieties - KG branding3_varieties_kg</v>
      </c>
      <c r="I632" s="9"/>
      <c r="J632" s="9"/>
      <c r="K632" s="8" t="s">
        <v>1545</v>
      </c>
      <c r="L632" s="9"/>
      <c r="M632" s="9"/>
      <c r="N632" s="9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</row>
    <row r="633" spans="1:31" x14ac:dyDescent="0.25">
      <c r="A633" s="7" t="s">
        <v>1549</v>
      </c>
      <c r="B633" s="8" t="s">
        <v>1551</v>
      </c>
      <c r="C633" s="8"/>
      <c r="D633" s="8" t="s">
        <v>1387</v>
      </c>
      <c r="E633" s="8" t="s">
        <v>1388</v>
      </c>
      <c r="F633" s="7" t="s">
        <v>18</v>
      </c>
      <c r="G633" s="7" t="s">
        <v>128</v>
      </c>
      <c r="H633" s="8" t="str">
        <f t="shared" si="6"/>
        <v>15.5.2. Type of Grading - Varieties - Number branding3_varieties_number</v>
      </c>
      <c r="I633" s="9"/>
      <c r="J633" s="9"/>
      <c r="K633" s="8" t="s">
        <v>1545</v>
      </c>
      <c r="L633" s="9"/>
      <c r="M633" s="9"/>
      <c r="N633" s="9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</row>
    <row r="634" spans="1:31" x14ac:dyDescent="0.25">
      <c r="A634" s="7" t="s">
        <v>1552</v>
      </c>
      <c r="B634" s="8" t="s">
        <v>1553</v>
      </c>
      <c r="C634" s="8"/>
      <c r="D634" s="8" t="s">
        <v>1391</v>
      </c>
      <c r="E634" s="8" t="s">
        <v>1392</v>
      </c>
      <c r="F634" s="7" t="s">
        <v>18</v>
      </c>
      <c r="G634" s="7" t="s">
        <v>128</v>
      </c>
      <c r="H634" s="8" t="str">
        <f t="shared" si="6"/>
        <v>15.5.3. Type of Grading - Varieties - Price / Unit branding3_varieties_price</v>
      </c>
      <c r="I634" s="9"/>
      <c r="J634" s="9"/>
      <c r="K634" s="8" t="s">
        <v>1545</v>
      </c>
      <c r="L634" s="9"/>
      <c r="M634" s="9"/>
      <c r="N634" s="9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</row>
    <row r="635" spans="1:31" x14ac:dyDescent="0.25">
      <c r="A635" s="23" t="s">
        <v>1554</v>
      </c>
      <c r="B635" s="8" t="s">
        <v>1555</v>
      </c>
      <c r="C635" s="8"/>
      <c r="D635" s="8" t="s">
        <v>1556</v>
      </c>
      <c r="E635" s="8" t="s">
        <v>1557</v>
      </c>
      <c r="F635" s="7" t="s">
        <v>1558</v>
      </c>
      <c r="G635" s="9"/>
      <c r="H635" s="9"/>
      <c r="I635" s="9"/>
      <c r="J635" s="9"/>
      <c r="K635" s="8" t="s">
        <v>1545</v>
      </c>
      <c r="L635" s="9"/>
      <c r="M635" s="9"/>
      <c r="N635" s="9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</row>
    <row r="636" spans="1:31" x14ac:dyDescent="0.25">
      <c r="A636" s="23" t="s">
        <v>1559</v>
      </c>
      <c r="B636" s="8" t="s">
        <v>1560</v>
      </c>
      <c r="C636" s="8"/>
      <c r="D636" s="8" t="s">
        <v>1561</v>
      </c>
      <c r="E636" s="8" t="s">
        <v>1562</v>
      </c>
      <c r="F636" s="7" t="s">
        <v>1563</v>
      </c>
      <c r="G636" s="9"/>
      <c r="H636" s="9"/>
      <c r="I636" s="9"/>
      <c r="J636" s="9"/>
      <c r="K636" s="8" t="s">
        <v>1545</v>
      </c>
      <c r="L636" s="9"/>
      <c r="M636" s="9"/>
      <c r="N636" s="9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</row>
    <row r="637" spans="1:31" x14ac:dyDescent="0.25">
      <c r="A637" s="23" t="s">
        <v>1564</v>
      </c>
      <c r="B637" s="8" t="s">
        <v>1565</v>
      </c>
      <c r="C637" s="8"/>
      <c r="D637" s="8" t="s">
        <v>1566</v>
      </c>
      <c r="E637" s="8" t="s">
        <v>1567</v>
      </c>
      <c r="F637" s="7" t="s">
        <v>1568</v>
      </c>
      <c r="G637" s="9"/>
      <c r="H637" s="9"/>
      <c r="I637" s="9"/>
      <c r="J637" s="9"/>
      <c r="K637" s="8" t="s">
        <v>1545</v>
      </c>
      <c r="L637" s="9"/>
      <c r="M637" s="9"/>
      <c r="N637" s="9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</row>
    <row r="638" spans="1:31" x14ac:dyDescent="0.25">
      <c r="A638" s="7" t="s">
        <v>181</v>
      </c>
      <c r="B638" s="9"/>
      <c r="C638" s="8"/>
      <c r="D638" s="8" t="s">
        <v>1505</v>
      </c>
      <c r="E638" s="8" t="s">
        <v>1409</v>
      </c>
      <c r="F638" s="9"/>
      <c r="G638" s="9"/>
      <c r="H638" s="8" t="str">
        <f t="shared" ref="H638:H693" si="7">CONCATENATE(A638, " ", D638, " ", B638)</f>
        <v xml:space="preserve"># Weight  </v>
      </c>
      <c r="I638" s="9"/>
      <c r="J638" s="9"/>
      <c r="K638" s="8" t="s">
        <v>1545</v>
      </c>
      <c r="L638" s="9"/>
      <c r="M638" s="9"/>
      <c r="N638" s="9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</row>
    <row r="639" spans="1:31" x14ac:dyDescent="0.25">
      <c r="A639" s="7" t="s">
        <v>1569</v>
      </c>
      <c r="B639" s="8" t="s">
        <v>1570</v>
      </c>
      <c r="C639" s="8"/>
      <c r="D639" s="8" t="s">
        <v>1412</v>
      </c>
      <c r="E639" s="8" t="s">
        <v>1413</v>
      </c>
      <c r="F639" s="7" t="s">
        <v>26</v>
      </c>
      <c r="G639" s="9"/>
      <c r="H639" s="8" t="str">
        <f t="shared" si="7"/>
        <v>15.5.4. Type of Grading - Weight 250 Grams branding3_weight250_confirm</v>
      </c>
      <c r="I639" s="9"/>
      <c r="J639" s="9"/>
      <c r="K639" s="8" t="s">
        <v>1545</v>
      </c>
      <c r="L639" s="8" t="s">
        <v>124</v>
      </c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</row>
    <row r="640" spans="1:31" x14ac:dyDescent="0.25">
      <c r="A640" s="7" t="s">
        <v>1571</v>
      </c>
      <c r="B640" s="8" t="s">
        <v>1572</v>
      </c>
      <c r="C640" s="8"/>
      <c r="D640" s="8" t="s">
        <v>1416</v>
      </c>
      <c r="E640" s="8" t="s">
        <v>1417</v>
      </c>
      <c r="F640" s="7" t="s">
        <v>18</v>
      </c>
      <c r="G640" s="7" t="s">
        <v>128</v>
      </c>
      <c r="H640" s="8" t="str">
        <f t="shared" si="7"/>
        <v>15.5.4.1. Type of Grading - Weight 250 Grams - Number branding3_weight250_number</v>
      </c>
      <c r="I640" s="9"/>
      <c r="J640" s="9"/>
      <c r="K640" s="8" t="s">
        <v>1573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</row>
    <row r="641" spans="1:31" x14ac:dyDescent="0.25">
      <c r="A641" s="7" t="s">
        <v>1574</v>
      </c>
      <c r="B641" s="8" t="s">
        <v>1575</v>
      </c>
      <c r="C641" s="8"/>
      <c r="D641" s="8" t="s">
        <v>1421</v>
      </c>
      <c r="E641" s="8" t="s">
        <v>1422</v>
      </c>
      <c r="F641" s="7" t="s">
        <v>18</v>
      </c>
      <c r="G641" s="7" t="s">
        <v>128</v>
      </c>
      <c r="H641" s="8" t="str">
        <f t="shared" si="7"/>
        <v>15.5.4.2. Type of Grading - Weight 250 Grams - Price / Unit branding3_weight250_price</v>
      </c>
      <c r="I641" s="9"/>
      <c r="J641" s="9"/>
      <c r="K641" s="8" t="s">
        <v>1573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</row>
    <row r="642" spans="1:31" x14ac:dyDescent="0.25">
      <c r="A642" s="7" t="s">
        <v>1576</v>
      </c>
      <c r="B642" s="8" t="s">
        <v>1577</v>
      </c>
      <c r="C642" s="8"/>
      <c r="D642" s="8" t="s">
        <v>1425</v>
      </c>
      <c r="E642" s="8" t="s">
        <v>1426</v>
      </c>
      <c r="F642" s="7" t="s">
        <v>26</v>
      </c>
      <c r="G642" s="9"/>
      <c r="H642" s="8" t="str">
        <f t="shared" si="7"/>
        <v>15.5.5. Type of Grading - Weight 500 Grams branding3_weight500_confirm</v>
      </c>
      <c r="I642" s="9"/>
      <c r="J642" s="9"/>
      <c r="K642" s="8" t="s">
        <v>1545</v>
      </c>
      <c r="L642" s="8" t="s">
        <v>124</v>
      </c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</row>
    <row r="643" spans="1:31" x14ac:dyDescent="0.25">
      <c r="A643" s="7" t="s">
        <v>1578</v>
      </c>
      <c r="B643" s="8" t="s">
        <v>1579</v>
      </c>
      <c r="C643" s="8"/>
      <c r="D643" s="8" t="s">
        <v>1429</v>
      </c>
      <c r="E643" s="8" t="s">
        <v>1430</v>
      </c>
      <c r="F643" s="7" t="s">
        <v>18</v>
      </c>
      <c r="G643" s="7" t="s">
        <v>128</v>
      </c>
      <c r="H643" s="8" t="str">
        <f t="shared" si="7"/>
        <v>15.5.5.1. Type of Grading - Weight 500 Grams - Number branding3_weight500_number</v>
      </c>
      <c r="I643" s="9"/>
      <c r="J643" s="9"/>
      <c r="K643" s="8" t="s">
        <v>1580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</row>
    <row r="644" spans="1:31" x14ac:dyDescent="0.25">
      <c r="A644" s="7" t="s">
        <v>1581</v>
      </c>
      <c r="B644" s="8" t="s">
        <v>1582</v>
      </c>
      <c r="C644" s="8"/>
      <c r="D644" s="8" t="s">
        <v>1434</v>
      </c>
      <c r="E644" s="8" t="s">
        <v>1435</v>
      </c>
      <c r="F644" s="7" t="s">
        <v>18</v>
      </c>
      <c r="G644" s="7" t="s">
        <v>128</v>
      </c>
      <c r="H644" s="8" t="str">
        <f t="shared" si="7"/>
        <v>15.5.5.2. Type of Grading - Weight 500 Grams - Price / Unit branding3_weight500_price</v>
      </c>
      <c r="I644" s="9"/>
      <c r="J644" s="9"/>
      <c r="K644" s="8" t="s">
        <v>1580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</row>
    <row r="645" spans="1:31" x14ac:dyDescent="0.25">
      <c r="A645" s="7" t="s">
        <v>1583</v>
      </c>
      <c r="B645" s="8" t="s">
        <v>1584</v>
      </c>
      <c r="C645" s="8"/>
      <c r="D645" s="8" t="s">
        <v>1438</v>
      </c>
      <c r="E645" s="8" t="s">
        <v>1439</v>
      </c>
      <c r="F645" s="7" t="s">
        <v>26</v>
      </c>
      <c r="G645" s="9"/>
      <c r="H645" s="8" t="str">
        <f t="shared" si="7"/>
        <v>15.5.6. Type of Grading - Weight 1 Kg branding3_weight1000_confirm</v>
      </c>
      <c r="I645" s="9"/>
      <c r="J645" s="9"/>
      <c r="K645" s="8" t="s">
        <v>1545</v>
      </c>
      <c r="L645" s="8" t="s">
        <v>124</v>
      </c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</row>
    <row r="646" spans="1:31" x14ac:dyDescent="0.25">
      <c r="A646" s="7" t="s">
        <v>1585</v>
      </c>
      <c r="B646" s="8" t="s">
        <v>1586</v>
      </c>
      <c r="C646" s="8"/>
      <c r="D646" s="8" t="s">
        <v>1442</v>
      </c>
      <c r="E646" s="8" t="s">
        <v>1443</v>
      </c>
      <c r="F646" s="7" t="s">
        <v>18</v>
      </c>
      <c r="G646" s="7" t="s">
        <v>128</v>
      </c>
      <c r="H646" s="8" t="str">
        <f t="shared" si="7"/>
        <v>15.5.6.1. Type of Grading - Weight 1 Kg - Number branding3_weight1000_number</v>
      </c>
      <c r="I646" s="9"/>
      <c r="J646" s="9"/>
      <c r="K646" s="8" t="s">
        <v>1587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</row>
    <row r="647" spans="1:31" x14ac:dyDescent="0.25">
      <c r="A647" s="7" t="s">
        <v>1588</v>
      </c>
      <c r="B647" s="8" t="s">
        <v>1589</v>
      </c>
      <c r="C647" s="8"/>
      <c r="D647" s="8" t="s">
        <v>1447</v>
      </c>
      <c r="E647" s="8" t="s">
        <v>1448</v>
      </c>
      <c r="F647" s="7" t="s">
        <v>18</v>
      </c>
      <c r="G647" s="7" t="s">
        <v>128</v>
      </c>
      <c r="H647" s="8" t="str">
        <f t="shared" si="7"/>
        <v>15.5.6.2. Type of Grading - Weight 1 Kg - Price / Unit branding3_weight1000_price</v>
      </c>
      <c r="I647" s="9"/>
      <c r="J647" s="9"/>
      <c r="K647" s="8" t="s">
        <v>1587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</row>
    <row r="648" spans="1:31" x14ac:dyDescent="0.25">
      <c r="A648" s="7" t="s">
        <v>181</v>
      </c>
      <c r="B648" s="9"/>
      <c r="C648" s="8"/>
      <c r="D648" s="8" t="s">
        <v>1449</v>
      </c>
      <c r="E648" s="8" t="s">
        <v>1450</v>
      </c>
      <c r="F648" s="9"/>
      <c r="G648" s="9"/>
      <c r="H648" s="8" t="str">
        <f t="shared" si="7"/>
        <v xml:space="preserve"># Color </v>
      </c>
      <c r="I648" s="9"/>
      <c r="J648" s="9"/>
      <c r="K648" s="8" t="s">
        <v>1545</v>
      </c>
      <c r="L648" s="9"/>
      <c r="M648" s="9"/>
      <c r="N648" s="9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</row>
    <row r="649" spans="1:31" x14ac:dyDescent="0.25">
      <c r="A649" s="7" t="s">
        <v>1590</v>
      </c>
      <c r="B649" s="8" t="s">
        <v>1591</v>
      </c>
      <c r="C649" s="8"/>
      <c r="D649" s="8" t="s">
        <v>1453</v>
      </c>
      <c r="E649" s="8" t="s">
        <v>1454</v>
      </c>
      <c r="F649" s="7" t="s">
        <v>18</v>
      </c>
      <c r="G649" s="9"/>
      <c r="H649" s="8" t="str">
        <f t="shared" si="7"/>
        <v>15.5.7. Type of Grading - Color(Yellow) - Number branding3_colyellow_number</v>
      </c>
      <c r="I649" s="9"/>
      <c r="J649" s="9"/>
      <c r="K649" s="8" t="s">
        <v>1481</v>
      </c>
      <c r="L649" s="9"/>
      <c r="M649" s="9"/>
      <c r="N649" s="9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</row>
    <row r="650" spans="1:31" x14ac:dyDescent="0.25">
      <c r="A650" s="7" t="s">
        <v>1592</v>
      </c>
      <c r="B650" s="8" t="s">
        <v>1593</v>
      </c>
      <c r="C650" s="8"/>
      <c r="D650" s="8" t="s">
        <v>1457</v>
      </c>
      <c r="E650" s="8" t="s">
        <v>1458</v>
      </c>
      <c r="F650" s="7" t="s">
        <v>18</v>
      </c>
      <c r="G650" s="9"/>
      <c r="H650" s="8" t="str">
        <f t="shared" si="7"/>
        <v>15.5.8. Type of Grading - Color(Yellow) - Price branding3_colyellow_price</v>
      </c>
      <c r="I650" s="9"/>
      <c r="J650" s="9"/>
      <c r="K650" s="8" t="s">
        <v>1481</v>
      </c>
      <c r="L650" s="9"/>
      <c r="M650" s="9"/>
      <c r="N650" s="9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</row>
    <row r="651" spans="1:31" x14ac:dyDescent="0.25">
      <c r="A651" s="7" t="s">
        <v>1594</v>
      </c>
      <c r="B651" s="8" t="s">
        <v>1595</v>
      </c>
      <c r="C651" s="8"/>
      <c r="D651" s="8" t="s">
        <v>1461</v>
      </c>
      <c r="E651" s="8" t="s">
        <v>1462</v>
      </c>
      <c r="F651" s="7" t="s">
        <v>18</v>
      </c>
      <c r="G651" s="9"/>
      <c r="H651" s="8" t="str">
        <f t="shared" si="7"/>
        <v>15.5.9. Type of Grading - Color(Reddish Brown) - Number branding3_colrbrown_number</v>
      </c>
      <c r="I651" s="9"/>
      <c r="J651" s="9"/>
      <c r="K651" s="8" t="s">
        <v>1481</v>
      </c>
      <c r="L651" s="9"/>
      <c r="M651" s="9"/>
      <c r="N651" s="9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</row>
    <row r="652" spans="1:31" x14ac:dyDescent="0.25">
      <c r="A652" s="7" t="s">
        <v>1596</v>
      </c>
      <c r="B652" s="8" t="s">
        <v>1597</v>
      </c>
      <c r="C652" s="8"/>
      <c r="D652" s="8" t="s">
        <v>1465</v>
      </c>
      <c r="E652" s="8" t="s">
        <v>1466</v>
      </c>
      <c r="F652" s="7" t="s">
        <v>18</v>
      </c>
      <c r="G652" s="9"/>
      <c r="H652" s="8" t="str">
        <f t="shared" si="7"/>
        <v>15.5.10. Type of Grading - Color(Reddish Brown) - Price branding3_colrbrown_price</v>
      </c>
      <c r="I652" s="9"/>
      <c r="J652" s="9"/>
      <c r="K652" s="8" t="s">
        <v>1481</v>
      </c>
      <c r="L652" s="9"/>
      <c r="M652" s="9"/>
      <c r="N652" s="9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</row>
    <row r="653" spans="1:31" x14ac:dyDescent="0.25">
      <c r="A653" s="7" t="s">
        <v>1598</v>
      </c>
      <c r="B653" s="8" t="s">
        <v>1599</v>
      </c>
      <c r="C653" s="8"/>
      <c r="D653" s="8" t="s">
        <v>1469</v>
      </c>
      <c r="E653" s="8" t="s">
        <v>1470</v>
      </c>
      <c r="F653" s="7" t="s">
        <v>18</v>
      </c>
      <c r="G653" s="9"/>
      <c r="H653" s="8" t="str">
        <f t="shared" si="7"/>
        <v>15.5.11. Type of Grading - Color(Dark Brown) - Number branding3_coldbrown_number</v>
      </c>
      <c r="I653" s="9"/>
      <c r="J653" s="9"/>
      <c r="K653" s="8" t="s">
        <v>1481</v>
      </c>
      <c r="L653" s="9"/>
      <c r="M653" s="9"/>
      <c r="N653" s="9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</row>
    <row r="654" spans="1:31" x14ac:dyDescent="0.25">
      <c r="A654" s="7" t="s">
        <v>1600</v>
      </c>
      <c r="B654" s="8" t="s">
        <v>1601</v>
      </c>
      <c r="C654" s="8"/>
      <c r="D654" s="8" t="s">
        <v>1473</v>
      </c>
      <c r="E654" s="8" t="s">
        <v>1474</v>
      </c>
      <c r="F654" s="7" t="s">
        <v>18</v>
      </c>
      <c r="G654" s="9"/>
      <c r="H654" s="8" t="str">
        <f t="shared" si="7"/>
        <v>15.5.12. Type of Grading - Color(Dard Brown) - Price branding3_coldbrown_price</v>
      </c>
      <c r="I654" s="9"/>
      <c r="J654" s="9"/>
      <c r="K654" s="8" t="s">
        <v>1481</v>
      </c>
      <c r="L654" s="9"/>
      <c r="M654" s="9"/>
      <c r="N654" s="9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</row>
    <row r="655" spans="1:31" x14ac:dyDescent="0.25">
      <c r="A655" s="14">
        <v>16</v>
      </c>
      <c r="B655" s="5"/>
      <c r="C655" s="6"/>
      <c r="D655" s="6" t="s">
        <v>1602</v>
      </c>
      <c r="E655" s="6" t="s">
        <v>1603</v>
      </c>
      <c r="F655" s="5"/>
      <c r="G655" s="5"/>
      <c r="H655" s="6" t="str">
        <f t="shared" si="7"/>
        <v xml:space="preserve">16 Training in Beekeeping </v>
      </c>
      <c r="I655" s="5"/>
      <c r="J655" s="5"/>
      <c r="K655" s="5"/>
      <c r="L655" s="5"/>
      <c r="M655" s="5"/>
      <c r="N655" s="5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</row>
    <row r="656" spans="1:31" x14ac:dyDescent="0.25">
      <c r="A656" s="7">
        <v>16</v>
      </c>
      <c r="B656" s="8" t="s">
        <v>1604</v>
      </c>
      <c r="C656" s="8"/>
      <c r="D656" s="8" t="s">
        <v>1605</v>
      </c>
      <c r="E656" s="8" t="s">
        <v>1606</v>
      </c>
      <c r="F656" s="7" t="s">
        <v>26</v>
      </c>
      <c r="G656" s="9"/>
      <c r="H656" s="8" t="str">
        <f t="shared" si="7"/>
        <v>16 Have you taken any kind of Training in Beekeeping? is_taken_training</v>
      </c>
      <c r="I656" s="9"/>
      <c r="J656" s="9"/>
      <c r="K656" s="9"/>
      <c r="L656" s="8" t="s">
        <v>124</v>
      </c>
      <c r="M656" s="8" t="s">
        <v>601</v>
      </c>
      <c r="N656" s="9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</row>
    <row r="657" spans="1:31" x14ac:dyDescent="0.25">
      <c r="A657" s="1" t="s">
        <v>1607</v>
      </c>
      <c r="B657" s="3"/>
      <c r="C657" s="2"/>
      <c r="D657" s="2" t="s">
        <v>1608</v>
      </c>
      <c r="E657" s="2" t="s">
        <v>1609</v>
      </c>
      <c r="F657" s="1" t="s">
        <v>96</v>
      </c>
      <c r="G657" s="3"/>
      <c r="H657" s="2" t="str">
        <f t="shared" si="7"/>
        <v xml:space="preserve">16.1. Training or Workshop - Activities related to Before Beekeeping </v>
      </c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x14ac:dyDescent="0.25">
      <c r="A658" s="7" t="s">
        <v>1607</v>
      </c>
      <c r="B658" s="8" t="s">
        <v>1610</v>
      </c>
      <c r="C658" s="8"/>
      <c r="D658" s="8" t="s">
        <v>1611</v>
      </c>
      <c r="E658" s="8" t="s">
        <v>1609</v>
      </c>
      <c r="F658" s="7" t="s">
        <v>26</v>
      </c>
      <c r="G658" s="9"/>
      <c r="H658" s="8" t="str">
        <f t="shared" si="7"/>
        <v>16.1. Training or Workshop  - Activities related to Before Beekeeping activities_related_beekeeping</v>
      </c>
      <c r="I658" s="9"/>
      <c r="J658" s="9"/>
      <c r="K658" s="9"/>
      <c r="L658" s="8" t="s">
        <v>124</v>
      </c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</row>
    <row r="659" spans="1:31" x14ac:dyDescent="0.25">
      <c r="A659" s="7" t="s">
        <v>1612</v>
      </c>
      <c r="B659" s="8" t="s">
        <v>1613</v>
      </c>
      <c r="C659" s="8"/>
      <c r="D659" s="8" t="s">
        <v>1614</v>
      </c>
      <c r="E659" s="8" t="s">
        <v>1615</v>
      </c>
      <c r="F659" s="7" t="s">
        <v>26</v>
      </c>
      <c r="G659" s="9"/>
      <c r="H659" s="8" t="str">
        <f t="shared" si="7"/>
        <v>16.1.1. Name of Training pre_beekeeping_traning_name</v>
      </c>
      <c r="I659" s="9"/>
      <c r="J659" s="9"/>
      <c r="K659" s="8" t="s">
        <v>1616</v>
      </c>
      <c r="L659" s="8" t="s">
        <v>1617</v>
      </c>
      <c r="M659" s="8" t="s">
        <v>1618</v>
      </c>
      <c r="N659" s="9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</row>
    <row r="660" spans="1:31" x14ac:dyDescent="0.25">
      <c r="A660" s="7" t="s">
        <v>1619</v>
      </c>
      <c r="B660" s="8" t="s">
        <v>1620</v>
      </c>
      <c r="C660" s="8"/>
      <c r="D660" s="8" t="s">
        <v>1621</v>
      </c>
      <c r="E660" s="8" t="s">
        <v>1622</v>
      </c>
      <c r="F660" s="7" t="s">
        <v>18</v>
      </c>
      <c r="G660" s="9"/>
      <c r="H660" s="8" t="str">
        <f t="shared" si="7"/>
        <v>16.1.1.1. Other Training Name pre_beekeeping_other_traning_name</v>
      </c>
      <c r="I660" s="9"/>
      <c r="J660" s="9"/>
      <c r="K660" s="8" t="s">
        <v>1623</v>
      </c>
      <c r="L660" s="9"/>
      <c r="M660" s="9"/>
      <c r="N660" s="9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</row>
    <row r="661" spans="1:31" x14ac:dyDescent="0.25">
      <c r="A661" s="7" t="s">
        <v>1624</v>
      </c>
      <c r="B661" s="8" t="s">
        <v>1625</v>
      </c>
      <c r="C661" s="8"/>
      <c r="D661" s="8" t="s">
        <v>1626</v>
      </c>
      <c r="E661" s="8" t="s">
        <v>1627</v>
      </c>
      <c r="F661" s="7" t="s">
        <v>18</v>
      </c>
      <c r="G661" s="9"/>
      <c r="H661" s="8" t="str">
        <f t="shared" si="7"/>
        <v>16.1.2. Name of Training Provider pre_beekeeping_traning_provider</v>
      </c>
      <c r="I661" s="9"/>
      <c r="J661" s="9"/>
      <c r="K661" s="8" t="s">
        <v>1616</v>
      </c>
      <c r="L661" s="9"/>
      <c r="M661" s="9"/>
      <c r="N661" s="9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</row>
    <row r="662" spans="1:31" x14ac:dyDescent="0.25">
      <c r="A662" s="7" t="s">
        <v>1628</v>
      </c>
      <c r="B662" s="8" t="s">
        <v>1629</v>
      </c>
      <c r="C662" s="8"/>
      <c r="D662" s="8" t="s">
        <v>207</v>
      </c>
      <c r="E662" s="8" t="s">
        <v>1630</v>
      </c>
      <c r="F662" s="7" t="s">
        <v>18</v>
      </c>
      <c r="G662" s="7" t="s">
        <v>128</v>
      </c>
      <c r="H662" s="8" t="str">
        <f t="shared" si="7"/>
        <v>16.1.3. Year pre_beekeeping_traning_year</v>
      </c>
      <c r="I662" s="9"/>
      <c r="J662" s="9"/>
      <c r="K662" s="8" t="s">
        <v>1616</v>
      </c>
      <c r="L662" s="9"/>
      <c r="M662" s="9"/>
      <c r="N662" s="9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</row>
    <row r="663" spans="1:31" x14ac:dyDescent="0.25">
      <c r="A663" s="7" t="s">
        <v>1631</v>
      </c>
      <c r="B663" s="8" t="s">
        <v>1632</v>
      </c>
      <c r="C663" s="8"/>
      <c r="D663" s="8" t="s">
        <v>1633</v>
      </c>
      <c r="E663" s="8" t="s">
        <v>1634</v>
      </c>
      <c r="F663" s="7" t="s">
        <v>18</v>
      </c>
      <c r="G663" s="7" t="s">
        <v>128</v>
      </c>
      <c r="H663" s="8" t="str">
        <f t="shared" si="7"/>
        <v>16.1.4. Days pre_beekeeping_traning_days</v>
      </c>
      <c r="I663" s="9"/>
      <c r="J663" s="9"/>
      <c r="K663" s="8" t="s">
        <v>1616</v>
      </c>
      <c r="L663" s="9"/>
      <c r="M663" s="9"/>
      <c r="N663" s="9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</row>
    <row r="664" spans="1:31" x14ac:dyDescent="0.25">
      <c r="A664" s="7" t="s">
        <v>1635</v>
      </c>
      <c r="B664" s="8" t="s">
        <v>1636</v>
      </c>
      <c r="C664" s="8"/>
      <c r="D664" s="8" t="s">
        <v>1637</v>
      </c>
      <c r="E664" s="8" t="s">
        <v>1638</v>
      </c>
      <c r="F664" s="7" t="s">
        <v>18</v>
      </c>
      <c r="G664" s="7" t="s">
        <v>128</v>
      </c>
      <c r="H664" s="8" t="str">
        <f t="shared" si="7"/>
        <v>16.1.5. Type of Training pre_beekeeping_traning_type</v>
      </c>
      <c r="I664" s="9"/>
      <c r="J664" s="9"/>
      <c r="K664" s="8" t="s">
        <v>1616</v>
      </c>
      <c r="L664" s="8" t="s">
        <v>1639</v>
      </c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</row>
    <row r="665" spans="1:31" x14ac:dyDescent="0.25">
      <c r="A665" s="1" t="s">
        <v>1640</v>
      </c>
      <c r="B665" s="3"/>
      <c r="C665" s="2"/>
      <c r="D665" s="2" t="s">
        <v>1641</v>
      </c>
      <c r="E665" s="2" t="s">
        <v>1642</v>
      </c>
      <c r="F665" s="1" t="s">
        <v>96</v>
      </c>
      <c r="G665" s="3"/>
      <c r="H665" s="2" t="str">
        <f t="shared" si="7"/>
        <v xml:space="preserve">16.2. Training or Workshop - During Beekeeping Activities 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x14ac:dyDescent="0.25">
      <c r="A666" s="7" t="s">
        <v>1640</v>
      </c>
      <c r="B666" s="8" t="s">
        <v>1643</v>
      </c>
      <c r="C666" s="8"/>
      <c r="D666" s="8" t="s">
        <v>1641</v>
      </c>
      <c r="E666" s="8" t="s">
        <v>1642</v>
      </c>
      <c r="F666" s="7" t="s">
        <v>26</v>
      </c>
      <c r="G666" s="9"/>
      <c r="H666" s="8" t="str">
        <f t="shared" si="7"/>
        <v>16.2. Training or Workshop - During Beekeeping Activities during_beekeeping_activities</v>
      </c>
      <c r="I666" s="9"/>
      <c r="J666" s="9"/>
      <c r="K666" s="9"/>
      <c r="L666" s="8" t="s">
        <v>124</v>
      </c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</row>
    <row r="667" spans="1:31" x14ac:dyDescent="0.25">
      <c r="A667" s="7" t="s">
        <v>1644</v>
      </c>
      <c r="B667" s="8" t="s">
        <v>1645</v>
      </c>
      <c r="C667" s="8"/>
      <c r="D667" s="8" t="s">
        <v>1614</v>
      </c>
      <c r="E667" s="8" t="s">
        <v>1615</v>
      </c>
      <c r="F667" s="7" t="s">
        <v>26</v>
      </c>
      <c r="G667" s="9"/>
      <c r="H667" s="8" t="str">
        <f t="shared" si="7"/>
        <v>16.2.1. Name of Training during_beekeeping_traning_name</v>
      </c>
      <c r="I667" s="9"/>
      <c r="J667" s="9"/>
      <c r="K667" s="8" t="s">
        <v>1646</v>
      </c>
      <c r="L667" s="8" t="s">
        <v>1617</v>
      </c>
      <c r="M667" s="8" t="s">
        <v>1618</v>
      </c>
      <c r="N667" s="9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</row>
    <row r="668" spans="1:31" x14ac:dyDescent="0.25">
      <c r="A668" s="7" t="s">
        <v>1647</v>
      </c>
      <c r="B668" s="8" t="s">
        <v>1648</v>
      </c>
      <c r="C668" s="8"/>
      <c r="D668" s="8" t="s">
        <v>1621</v>
      </c>
      <c r="E668" s="8" t="s">
        <v>1622</v>
      </c>
      <c r="F668" s="7" t="s">
        <v>18</v>
      </c>
      <c r="G668" s="9"/>
      <c r="H668" s="8" t="str">
        <f t="shared" si="7"/>
        <v>16.2.1.1. Other Training Name during_beekeeping_other_traning_name</v>
      </c>
      <c r="I668" s="9"/>
      <c r="J668" s="9"/>
      <c r="K668" s="8" t="s">
        <v>1649</v>
      </c>
      <c r="L668" s="9"/>
      <c r="M668" s="9"/>
      <c r="N668" s="9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</row>
    <row r="669" spans="1:31" x14ac:dyDescent="0.25">
      <c r="A669" s="7" t="s">
        <v>1650</v>
      </c>
      <c r="B669" s="8" t="s">
        <v>1651</v>
      </c>
      <c r="C669" s="8"/>
      <c r="D669" s="8" t="s">
        <v>1626</v>
      </c>
      <c r="E669" s="8" t="s">
        <v>1627</v>
      </c>
      <c r="F669" s="7" t="s">
        <v>18</v>
      </c>
      <c r="G669" s="9"/>
      <c r="H669" s="8" t="str">
        <f t="shared" si="7"/>
        <v>16.2.2. Name of Training Provider during_beekeeping_traning_provider</v>
      </c>
      <c r="I669" s="9"/>
      <c r="J669" s="9"/>
      <c r="K669" s="8" t="s">
        <v>1646</v>
      </c>
      <c r="L669" s="9"/>
      <c r="M669" s="9"/>
      <c r="N669" s="9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</row>
    <row r="670" spans="1:31" x14ac:dyDescent="0.25">
      <c r="A670" s="7" t="s">
        <v>1652</v>
      </c>
      <c r="B670" s="8" t="s">
        <v>1653</v>
      </c>
      <c r="C670" s="8"/>
      <c r="D670" s="8" t="s">
        <v>207</v>
      </c>
      <c r="E670" s="8" t="s">
        <v>1630</v>
      </c>
      <c r="F670" s="7" t="s">
        <v>18</v>
      </c>
      <c r="G670" s="7" t="s">
        <v>128</v>
      </c>
      <c r="H670" s="8" t="str">
        <f t="shared" si="7"/>
        <v>16.2.3. Year during_beekeeping_traning_year</v>
      </c>
      <c r="I670" s="9"/>
      <c r="J670" s="9"/>
      <c r="K670" s="8" t="s">
        <v>1646</v>
      </c>
      <c r="L670" s="9"/>
      <c r="M670" s="9"/>
      <c r="N670" s="9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</row>
    <row r="671" spans="1:31" x14ac:dyDescent="0.25">
      <c r="A671" s="7" t="s">
        <v>1654</v>
      </c>
      <c r="B671" s="8" t="s">
        <v>1655</v>
      </c>
      <c r="C671" s="8"/>
      <c r="D671" s="8" t="s">
        <v>1633</v>
      </c>
      <c r="E671" s="8" t="s">
        <v>1634</v>
      </c>
      <c r="F671" s="7" t="s">
        <v>18</v>
      </c>
      <c r="G671" s="7" t="s">
        <v>128</v>
      </c>
      <c r="H671" s="8" t="str">
        <f t="shared" si="7"/>
        <v>16.2.4. Days during_beekeeping_traning_days</v>
      </c>
      <c r="I671" s="9"/>
      <c r="J671" s="9"/>
      <c r="K671" s="8" t="s">
        <v>1646</v>
      </c>
      <c r="L671" s="9"/>
      <c r="M671" s="9"/>
      <c r="N671" s="9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</row>
    <row r="672" spans="1:31" x14ac:dyDescent="0.25">
      <c r="A672" s="7" t="s">
        <v>1656</v>
      </c>
      <c r="B672" s="8" t="s">
        <v>1657</v>
      </c>
      <c r="C672" s="8"/>
      <c r="D672" s="8" t="s">
        <v>1637</v>
      </c>
      <c r="E672" s="8" t="s">
        <v>1638</v>
      </c>
      <c r="F672" s="7" t="s">
        <v>18</v>
      </c>
      <c r="G672" s="7" t="s">
        <v>128</v>
      </c>
      <c r="H672" s="8" t="str">
        <f t="shared" si="7"/>
        <v>16.2.5. Type of Training during_beekeeping_traning_type</v>
      </c>
      <c r="I672" s="9"/>
      <c r="J672" s="9"/>
      <c r="K672" s="8" t="s">
        <v>1646</v>
      </c>
      <c r="L672" s="8" t="s">
        <v>1639</v>
      </c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</row>
    <row r="673" spans="1:31" x14ac:dyDescent="0.25">
      <c r="A673" s="1" t="s">
        <v>1658</v>
      </c>
      <c r="B673" s="3"/>
      <c r="C673" s="2"/>
      <c r="D673" s="2" t="s">
        <v>1659</v>
      </c>
      <c r="E673" s="2" t="s">
        <v>1660</v>
      </c>
      <c r="F673" s="1" t="s">
        <v>96</v>
      </c>
      <c r="G673" s="3"/>
      <c r="H673" s="2" t="str">
        <f t="shared" si="7"/>
        <v xml:space="preserve">16.3. Training or Workshop - Post-Harvest Activities </v>
      </c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x14ac:dyDescent="0.25">
      <c r="A674" s="7" t="s">
        <v>1658</v>
      </c>
      <c r="B674" s="8" t="s">
        <v>1661</v>
      </c>
      <c r="C674" s="8"/>
      <c r="D674" s="8" t="s">
        <v>1662</v>
      </c>
      <c r="E674" s="8" t="s">
        <v>1660</v>
      </c>
      <c r="F674" s="7" t="s">
        <v>26</v>
      </c>
      <c r="G674" s="9"/>
      <c r="H674" s="8" t="str">
        <f t="shared" si="7"/>
        <v>16.3. Training or Workshop  - Post-Harvest Activities post_harvest_activities</v>
      </c>
      <c r="I674" s="9"/>
      <c r="J674" s="9"/>
      <c r="K674" s="9"/>
      <c r="L674" s="8" t="s">
        <v>124</v>
      </c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</row>
    <row r="675" spans="1:31" x14ac:dyDescent="0.25">
      <c r="A675" s="7" t="s">
        <v>1663</v>
      </c>
      <c r="B675" s="8" t="s">
        <v>1664</v>
      </c>
      <c r="C675" s="8"/>
      <c r="D675" s="8" t="s">
        <v>1614</v>
      </c>
      <c r="E675" s="8" t="s">
        <v>1615</v>
      </c>
      <c r="F675" s="7" t="s">
        <v>26</v>
      </c>
      <c r="G675" s="9"/>
      <c r="H675" s="8" t="str">
        <f t="shared" si="7"/>
        <v>16.3.1. Name of Training post_harvest_traning_name</v>
      </c>
      <c r="I675" s="9"/>
      <c r="J675" s="9"/>
      <c r="K675" s="8" t="s">
        <v>1665</v>
      </c>
      <c r="L675" s="8" t="s">
        <v>1617</v>
      </c>
      <c r="M675" s="8" t="s">
        <v>1618</v>
      </c>
      <c r="N675" s="9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</row>
    <row r="676" spans="1:31" x14ac:dyDescent="0.25">
      <c r="A676" s="7" t="s">
        <v>1666</v>
      </c>
      <c r="B676" s="8" t="s">
        <v>1667</v>
      </c>
      <c r="C676" s="8"/>
      <c r="D676" s="8" t="s">
        <v>1621</v>
      </c>
      <c r="E676" s="8" t="s">
        <v>1622</v>
      </c>
      <c r="F676" s="7" t="s">
        <v>18</v>
      </c>
      <c r="G676" s="9"/>
      <c r="H676" s="8" t="str">
        <f t="shared" si="7"/>
        <v>16.3.1.1. Other Training Name post_harvest_other_traning_name</v>
      </c>
      <c r="I676" s="9"/>
      <c r="J676" s="9"/>
      <c r="K676" s="8" t="s">
        <v>1668</v>
      </c>
      <c r="L676" s="9"/>
      <c r="M676" s="9"/>
      <c r="N676" s="9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</row>
    <row r="677" spans="1:31" x14ac:dyDescent="0.25">
      <c r="A677" s="7" t="s">
        <v>1669</v>
      </c>
      <c r="B677" s="8" t="s">
        <v>1670</v>
      </c>
      <c r="C677" s="8"/>
      <c r="D677" s="8" t="s">
        <v>1626</v>
      </c>
      <c r="E677" s="8" t="s">
        <v>1627</v>
      </c>
      <c r="F677" s="7" t="s">
        <v>18</v>
      </c>
      <c r="G677" s="9"/>
      <c r="H677" s="8" t="str">
        <f t="shared" si="7"/>
        <v>16.3.2. Name of Training Provider post_harvest_traning_provider</v>
      </c>
      <c r="I677" s="9"/>
      <c r="J677" s="9"/>
      <c r="K677" s="8" t="s">
        <v>1665</v>
      </c>
      <c r="L677" s="9"/>
      <c r="M677" s="9"/>
      <c r="N677" s="9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</row>
    <row r="678" spans="1:31" x14ac:dyDescent="0.25">
      <c r="A678" s="7" t="s">
        <v>1671</v>
      </c>
      <c r="B678" s="8" t="s">
        <v>1672</v>
      </c>
      <c r="C678" s="8"/>
      <c r="D678" s="8" t="s">
        <v>207</v>
      </c>
      <c r="E678" s="8" t="s">
        <v>1630</v>
      </c>
      <c r="F678" s="7" t="s">
        <v>18</v>
      </c>
      <c r="G678" s="7" t="s">
        <v>128</v>
      </c>
      <c r="H678" s="8" t="str">
        <f t="shared" si="7"/>
        <v>16.3.3. Year post_harvest_traning_year</v>
      </c>
      <c r="I678" s="9"/>
      <c r="J678" s="9"/>
      <c r="K678" s="8" t="s">
        <v>1665</v>
      </c>
      <c r="L678" s="9"/>
      <c r="M678" s="9"/>
      <c r="N678" s="9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</row>
    <row r="679" spans="1:31" x14ac:dyDescent="0.25">
      <c r="A679" s="7" t="s">
        <v>1673</v>
      </c>
      <c r="B679" s="8" t="s">
        <v>1674</v>
      </c>
      <c r="C679" s="8"/>
      <c r="D679" s="8" t="s">
        <v>1633</v>
      </c>
      <c r="E679" s="8" t="s">
        <v>1634</v>
      </c>
      <c r="F679" s="7" t="s">
        <v>18</v>
      </c>
      <c r="G679" s="7" t="s">
        <v>128</v>
      </c>
      <c r="H679" s="8" t="str">
        <f t="shared" si="7"/>
        <v>16.3.4. Days post_harvest_traning_days</v>
      </c>
      <c r="I679" s="9"/>
      <c r="J679" s="9"/>
      <c r="K679" s="8" t="s">
        <v>1665</v>
      </c>
      <c r="L679" s="9"/>
      <c r="M679" s="9"/>
      <c r="N679" s="9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</row>
    <row r="680" spans="1:31" x14ac:dyDescent="0.25">
      <c r="A680" s="7" t="s">
        <v>1675</v>
      </c>
      <c r="B680" s="8" t="s">
        <v>1676</v>
      </c>
      <c r="C680" s="8"/>
      <c r="D680" s="8" t="s">
        <v>1637</v>
      </c>
      <c r="E680" s="8" t="s">
        <v>1638</v>
      </c>
      <c r="F680" s="7" t="s">
        <v>18</v>
      </c>
      <c r="G680" s="7" t="s">
        <v>128</v>
      </c>
      <c r="H680" s="8" t="str">
        <f t="shared" si="7"/>
        <v>16.3.5. Type of Training post_harvest_traning_type</v>
      </c>
      <c r="I680" s="9"/>
      <c r="J680" s="9"/>
      <c r="K680" s="8" t="s">
        <v>1665</v>
      </c>
      <c r="L680" s="8" t="s">
        <v>1639</v>
      </c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</row>
    <row r="681" spans="1:31" x14ac:dyDescent="0.25">
      <c r="A681" s="1" t="s">
        <v>1677</v>
      </c>
      <c r="B681" s="3"/>
      <c r="C681" s="2"/>
      <c r="D681" s="2" t="s">
        <v>1678</v>
      </c>
      <c r="E681" s="2" t="s">
        <v>1679</v>
      </c>
      <c r="F681" s="1" t="s">
        <v>96</v>
      </c>
      <c r="G681" s="3"/>
      <c r="H681" s="2" t="str">
        <f t="shared" si="7"/>
        <v xml:space="preserve">16.4. Training or Workshop - Other Activities </v>
      </c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x14ac:dyDescent="0.25">
      <c r="A682" s="7" t="s">
        <v>1677</v>
      </c>
      <c r="B682" s="8" t="s">
        <v>1680</v>
      </c>
      <c r="C682" s="8"/>
      <c r="D682" s="8" t="s">
        <v>1681</v>
      </c>
      <c r="E682" s="8" t="s">
        <v>1679</v>
      </c>
      <c r="F682" s="7" t="s">
        <v>26</v>
      </c>
      <c r="G682" s="9"/>
      <c r="H682" s="8" t="str">
        <f t="shared" si="7"/>
        <v>16.4. Training or Workshop  - Other Activities other_activities</v>
      </c>
      <c r="I682" s="9"/>
      <c r="J682" s="9"/>
      <c r="K682" s="9"/>
      <c r="L682" s="8" t="s">
        <v>124</v>
      </c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</row>
    <row r="683" spans="1:31" x14ac:dyDescent="0.25">
      <c r="A683" s="7" t="s">
        <v>1682</v>
      </c>
      <c r="B683" s="8" t="s">
        <v>1683</v>
      </c>
      <c r="C683" s="8"/>
      <c r="D683" s="8" t="s">
        <v>1614</v>
      </c>
      <c r="E683" s="8" t="s">
        <v>1615</v>
      </c>
      <c r="F683" s="7" t="s">
        <v>26</v>
      </c>
      <c r="G683" s="9"/>
      <c r="H683" s="8" t="str">
        <f t="shared" si="7"/>
        <v>16.4.1. Name of Training other_traning_name</v>
      </c>
      <c r="I683" s="9"/>
      <c r="J683" s="9"/>
      <c r="K683" s="8" t="s">
        <v>1684</v>
      </c>
      <c r="L683" s="8" t="s">
        <v>1617</v>
      </c>
      <c r="M683" s="8" t="s">
        <v>1618</v>
      </c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</row>
    <row r="684" spans="1:31" x14ac:dyDescent="0.25">
      <c r="A684" s="7" t="s">
        <v>1685</v>
      </c>
      <c r="B684" s="8" t="s">
        <v>1686</v>
      </c>
      <c r="C684" s="8"/>
      <c r="D684" s="8" t="s">
        <v>1621</v>
      </c>
      <c r="E684" s="8" t="s">
        <v>1622</v>
      </c>
      <c r="F684" s="7" t="s">
        <v>18</v>
      </c>
      <c r="G684" s="9"/>
      <c r="H684" s="8" t="str">
        <f t="shared" si="7"/>
        <v>16.4.1.1. Other Training Name other_traning_name_other</v>
      </c>
      <c r="I684" s="9"/>
      <c r="J684" s="9"/>
      <c r="K684" s="8" t="s">
        <v>1687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</row>
    <row r="685" spans="1:31" x14ac:dyDescent="0.25">
      <c r="A685" s="7" t="s">
        <v>1688</v>
      </c>
      <c r="B685" s="8" t="s">
        <v>1689</v>
      </c>
      <c r="C685" s="8"/>
      <c r="D685" s="8" t="s">
        <v>1626</v>
      </c>
      <c r="E685" s="8" t="s">
        <v>1627</v>
      </c>
      <c r="F685" s="7" t="s">
        <v>18</v>
      </c>
      <c r="G685" s="9"/>
      <c r="H685" s="8" t="str">
        <f t="shared" si="7"/>
        <v>16.4.2. Name of Training Provider other_traning_provider</v>
      </c>
      <c r="I685" s="9"/>
      <c r="J685" s="9"/>
      <c r="K685" s="8" t="s">
        <v>1684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</row>
    <row r="686" spans="1:31" x14ac:dyDescent="0.25">
      <c r="A686" s="7" t="s">
        <v>1690</v>
      </c>
      <c r="B686" s="8" t="s">
        <v>1691</v>
      </c>
      <c r="C686" s="8"/>
      <c r="D686" s="8" t="s">
        <v>207</v>
      </c>
      <c r="E686" s="8" t="s">
        <v>1630</v>
      </c>
      <c r="F686" s="7" t="s">
        <v>18</v>
      </c>
      <c r="G686" s="7" t="s">
        <v>128</v>
      </c>
      <c r="H686" s="8" t="str">
        <f t="shared" si="7"/>
        <v>16.4.3. Year other_traning_year</v>
      </c>
      <c r="I686" s="9"/>
      <c r="J686" s="9"/>
      <c r="K686" s="8" t="s">
        <v>1684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</row>
    <row r="687" spans="1:31" x14ac:dyDescent="0.25">
      <c r="A687" s="7" t="s">
        <v>1692</v>
      </c>
      <c r="B687" s="8" t="s">
        <v>1693</v>
      </c>
      <c r="C687" s="8"/>
      <c r="D687" s="8" t="s">
        <v>1633</v>
      </c>
      <c r="E687" s="8" t="s">
        <v>1634</v>
      </c>
      <c r="F687" s="7" t="s">
        <v>18</v>
      </c>
      <c r="G687" s="7" t="s">
        <v>128</v>
      </c>
      <c r="H687" s="8" t="str">
        <f t="shared" si="7"/>
        <v>16.4.4. Days other_traning_days</v>
      </c>
      <c r="I687" s="9"/>
      <c r="J687" s="9"/>
      <c r="K687" s="8" t="s">
        <v>1684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</row>
    <row r="688" spans="1:31" x14ac:dyDescent="0.25">
      <c r="A688" s="7" t="s">
        <v>1694</v>
      </c>
      <c r="B688" s="8" t="s">
        <v>1695</v>
      </c>
      <c r="C688" s="8"/>
      <c r="D688" s="8" t="s">
        <v>1637</v>
      </c>
      <c r="E688" s="8" t="s">
        <v>1638</v>
      </c>
      <c r="F688" s="7" t="s">
        <v>18</v>
      </c>
      <c r="G688" s="7" t="s">
        <v>128</v>
      </c>
      <c r="H688" s="8" t="str">
        <f t="shared" si="7"/>
        <v>16.4.5. Type of Training other_traning_type</v>
      </c>
      <c r="I688" s="9"/>
      <c r="J688" s="9"/>
      <c r="K688" s="8" t="s">
        <v>1684</v>
      </c>
      <c r="L688" s="8" t="s">
        <v>1639</v>
      </c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</row>
    <row r="689" spans="1:31" x14ac:dyDescent="0.25">
      <c r="A689" s="14">
        <v>17</v>
      </c>
      <c r="B689" s="5"/>
      <c r="C689" s="6"/>
      <c r="D689" s="6" t="s">
        <v>1696</v>
      </c>
      <c r="E689" s="6" t="s">
        <v>1697</v>
      </c>
      <c r="F689" s="14" t="s">
        <v>96</v>
      </c>
      <c r="G689" s="5"/>
      <c r="H689" s="6" t="str">
        <f t="shared" si="7"/>
        <v xml:space="preserve">17 Are you operating any kind of Honey Processing Unit related with Beekeeping. </v>
      </c>
      <c r="I689" s="5"/>
      <c r="J689" s="5"/>
      <c r="K689" s="5"/>
      <c r="L689" s="5"/>
      <c r="M689" s="5"/>
      <c r="N689" s="5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</row>
    <row r="690" spans="1:31" x14ac:dyDescent="0.25">
      <c r="A690" s="7">
        <v>17</v>
      </c>
      <c r="B690" s="8" t="s">
        <v>1698</v>
      </c>
      <c r="C690" s="8"/>
      <c r="D690" s="8" t="s">
        <v>1699</v>
      </c>
      <c r="E690" s="8" t="s">
        <v>1697</v>
      </c>
      <c r="F690" s="7" t="s">
        <v>26</v>
      </c>
      <c r="G690" s="9"/>
      <c r="H690" s="8" t="str">
        <f t="shared" si="7"/>
        <v>17 Are you operating any kind of Honey Processing Unit related with Beekeeping? is_self_oprate_processing_unit</v>
      </c>
      <c r="I690" s="9"/>
      <c r="J690" s="9"/>
      <c r="K690" s="9"/>
      <c r="L690" s="8" t="s">
        <v>124</v>
      </c>
      <c r="M690" s="8" t="s">
        <v>601</v>
      </c>
      <c r="N690" s="9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</row>
    <row r="691" spans="1:31" x14ac:dyDescent="0.25">
      <c r="A691" s="7" t="s">
        <v>1700</v>
      </c>
      <c r="B691" s="8" t="s">
        <v>1701</v>
      </c>
      <c r="C691" s="8"/>
      <c r="D691" s="8" t="s">
        <v>1702</v>
      </c>
      <c r="E691" s="8" t="s">
        <v>1703</v>
      </c>
      <c r="F691" s="7" t="s">
        <v>18</v>
      </c>
      <c r="G691" s="9"/>
      <c r="H691" s="8" t="str">
        <f t="shared" si="7"/>
        <v>17.1. Name of Unit self_oprate_processing_unit_name</v>
      </c>
      <c r="I691" s="9"/>
      <c r="J691" s="9"/>
      <c r="K691" s="9"/>
      <c r="L691" s="9"/>
      <c r="M691" s="9"/>
      <c r="N691" s="9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</row>
    <row r="692" spans="1:31" x14ac:dyDescent="0.25">
      <c r="A692" s="7" t="s">
        <v>1704</v>
      </c>
      <c r="B692" s="8" t="s">
        <v>1705</v>
      </c>
      <c r="C692" s="8"/>
      <c r="D692" s="8" t="s">
        <v>1706</v>
      </c>
      <c r="E692" s="8" t="s">
        <v>1707</v>
      </c>
      <c r="F692" s="7" t="s">
        <v>18</v>
      </c>
      <c r="G692" s="9"/>
      <c r="H692" s="8" t="str">
        <f t="shared" si="7"/>
        <v>17.2. Time of Establishment (in which year) unit_establishment_year</v>
      </c>
      <c r="I692" s="9"/>
      <c r="J692" s="9"/>
      <c r="K692" s="9"/>
      <c r="L692" s="9"/>
      <c r="M692" s="9"/>
      <c r="N692" s="9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</row>
    <row r="693" spans="1:31" x14ac:dyDescent="0.25">
      <c r="A693" s="7" t="s">
        <v>1708</v>
      </c>
      <c r="B693" s="8" t="s">
        <v>1709</v>
      </c>
      <c r="C693" s="8"/>
      <c r="D693" s="8" t="s">
        <v>1710</v>
      </c>
      <c r="E693" s="8" t="s">
        <v>1711</v>
      </c>
      <c r="F693" s="7" t="s">
        <v>337</v>
      </c>
      <c r="G693" s="9"/>
      <c r="H693" s="8" t="str">
        <f t="shared" si="7"/>
        <v>17.3. Varieties Of Honey related_type_honey</v>
      </c>
      <c r="I693" s="9"/>
      <c r="J693" s="9"/>
      <c r="K693" s="8" t="s">
        <v>1712</v>
      </c>
      <c r="L693" s="8" t="s">
        <v>312</v>
      </c>
      <c r="M693" s="9"/>
      <c r="N693" s="9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</row>
    <row r="694" spans="1:31" x14ac:dyDescent="0.25">
      <c r="A694" s="7" t="s">
        <v>1713</v>
      </c>
      <c r="B694" s="8" t="s">
        <v>1714</v>
      </c>
      <c r="C694" s="8"/>
      <c r="D694" s="8" t="s">
        <v>1715</v>
      </c>
      <c r="E694" s="8" t="s">
        <v>1716</v>
      </c>
      <c r="F694" s="7" t="s">
        <v>18</v>
      </c>
      <c r="G694" s="9"/>
      <c r="H694" s="9"/>
      <c r="I694" s="9"/>
      <c r="J694" s="9"/>
      <c r="K694" s="9"/>
      <c r="L694" s="9"/>
      <c r="M694" s="9"/>
      <c r="N694" s="9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</row>
    <row r="695" spans="1:31" x14ac:dyDescent="0.25">
      <c r="A695" s="7" t="s">
        <v>1717</v>
      </c>
      <c r="B695" s="8" t="s">
        <v>1718</v>
      </c>
      <c r="C695" s="8"/>
      <c r="D695" s="8" t="s">
        <v>1719</v>
      </c>
      <c r="E695" s="8" t="s">
        <v>1720</v>
      </c>
      <c r="F695" s="7" t="s">
        <v>18</v>
      </c>
      <c r="G695" s="7" t="s">
        <v>128</v>
      </c>
      <c r="H695" s="8" t="str">
        <f t="shared" ref="H695:H696" si="8">CONCATENATE(A695, " ", D695, " ", B695)</f>
        <v>17.4. Processing Capacity Quantity (Kg) honey_quantity</v>
      </c>
      <c r="I695" s="9"/>
      <c r="J695" s="9"/>
      <c r="K695" s="8" t="s">
        <v>1712</v>
      </c>
      <c r="L695" s="9"/>
      <c r="M695" s="9"/>
      <c r="N695" s="9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</row>
    <row r="696" spans="1:31" x14ac:dyDescent="0.25">
      <c r="A696" s="7" t="s">
        <v>1721</v>
      </c>
      <c r="B696" s="8" t="s">
        <v>1722</v>
      </c>
      <c r="C696" s="8"/>
      <c r="D696" s="8" t="s">
        <v>1723</v>
      </c>
      <c r="E696" s="8" t="s">
        <v>1724</v>
      </c>
      <c r="F696" s="7" t="s">
        <v>18</v>
      </c>
      <c r="G696" s="7" t="s">
        <v>128</v>
      </c>
      <c r="H696" s="8" t="str">
        <f t="shared" si="8"/>
        <v>17.5. Processed Quantity (Kg) processed_honey_quantity</v>
      </c>
      <c r="I696" s="9"/>
      <c r="J696" s="9"/>
      <c r="K696" s="8" t="s">
        <v>1712</v>
      </c>
      <c r="L696" s="9"/>
      <c r="M696" s="9"/>
      <c r="N696" s="9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</row>
    <row r="697" spans="1:31" x14ac:dyDescent="0.25">
      <c r="A697" s="7" t="s">
        <v>1725</v>
      </c>
      <c r="B697" s="8" t="s">
        <v>1726</v>
      </c>
      <c r="C697" s="8"/>
      <c r="D697" s="8" t="s">
        <v>1727</v>
      </c>
      <c r="E697" s="8" t="s">
        <v>1728</v>
      </c>
      <c r="F697" s="7" t="s">
        <v>18</v>
      </c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</row>
    <row r="698" spans="1:31" x14ac:dyDescent="0.25">
      <c r="A698" s="26" t="s">
        <v>1729</v>
      </c>
      <c r="B698" s="9"/>
      <c r="C698" s="15"/>
      <c r="D698" s="15" t="s">
        <v>1730</v>
      </c>
      <c r="E698" s="15" t="s">
        <v>1731</v>
      </c>
      <c r="F698" s="26" t="s">
        <v>96</v>
      </c>
      <c r="G698" s="9"/>
      <c r="H698" s="15" t="str">
        <f t="shared" ref="H698:H726" si="9">CONCATENATE(A698, " ", D698, " ", B698)</f>
        <v xml:space="preserve">17.1.4. Selling Place of Production </v>
      </c>
      <c r="I698" s="9"/>
      <c r="J698" s="9"/>
      <c r="K698" s="15" t="s">
        <v>1712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</row>
    <row r="699" spans="1:31" x14ac:dyDescent="0.25">
      <c r="A699" s="7" t="s">
        <v>1732</v>
      </c>
      <c r="B699" s="8" t="s">
        <v>1733</v>
      </c>
      <c r="C699" s="8"/>
      <c r="D699" s="8" t="s">
        <v>1734</v>
      </c>
      <c r="E699" s="8" t="s">
        <v>1735</v>
      </c>
      <c r="F699" s="7" t="s">
        <v>123</v>
      </c>
      <c r="G699" s="9"/>
      <c r="H699" s="8" t="str">
        <f t="shared" si="9"/>
        <v>17.1.4.1. Village Level (Haat/Market) village_market</v>
      </c>
      <c r="I699" s="9"/>
      <c r="J699" s="9"/>
      <c r="K699" s="9"/>
      <c r="L699" s="8" t="s">
        <v>124</v>
      </c>
      <c r="M699" s="9"/>
      <c r="N699" s="9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</row>
    <row r="700" spans="1:31" x14ac:dyDescent="0.25">
      <c r="A700" s="7" t="s">
        <v>1736</v>
      </c>
      <c r="B700" s="8" t="s">
        <v>1737</v>
      </c>
      <c r="C700" s="8"/>
      <c r="D700" s="8" t="s">
        <v>1738</v>
      </c>
      <c r="E700" s="8" t="s">
        <v>1739</v>
      </c>
      <c r="F700" s="7" t="s">
        <v>18</v>
      </c>
      <c r="G700" s="9"/>
      <c r="H700" s="8" t="str">
        <f t="shared" si="9"/>
        <v>17.1.4.1.1. Village Level (Haat/Market) - Quantity(Kg) village_market_quantity</v>
      </c>
      <c r="I700" s="9"/>
      <c r="J700" s="9"/>
      <c r="K700" s="8" t="s">
        <v>1740</v>
      </c>
      <c r="L700" s="9"/>
      <c r="M700" s="9"/>
      <c r="N700" s="9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</row>
    <row r="701" spans="1:31" x14ac:dyDescent="0.25">
      <c r="A701" s="7" t="s">
        <v>1741</v>
      </c>
      <c r="B701" s="8" t="s">
        <v>1742</v>
      </c>
      <c r="C701" s="8"/>
      <c r="D701" s="8" t="s">
        <v>1743</v>
      </c>
      <c r="E701" s="8" t="s">
        <v>1744</v>
      </c>
      <c r="F701" s="7" t="s">
        <v>18</v>
      </c>
      <c r="G701" s="9"/>
      <c r="H701" s="8" t="str">
        <f t="shared" si="9"/>
        <v>17.1.4.1.2. Village Level (Haat/Market) - Price (Rs/Kg) village_market_price</v>
      </c>
      <c r="I701" s="9"/>
      <c r="J701" s="9"/>
      <c r="K701" s="8" t="s">
        <v>1740</v>
      </c>
      <c r="L701" s="9"/>
      <c r="M701" s="9"/>
      <c r="N701" s="9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</row>
    <row r="702" spans="1:31" x14ac:dyDescent="0.25">
      <c r="A702" s="7" t="s">
        <v>1745</v>
      </c>
      <c r="B702" s="8" t="s">
        <v>1746</v>
      </c>
      <c r="C702" s="8"/>
      <c r="D702" s="8" t="s">
        <v>1747</v>
      </c>
      <c r="E702" s="8" t="s">
        <v>1748</v>
      </c>
      <c r="F702" s="7" t="s">
        <v>123</v>
      </c>
      <c r="G702" s="9"/>
      <c r="H702" s="8" t="str">
        <f t="shared" si="9"/>
        <v>17.1.4.2. Government Market govt_market</v>
      </c>
      <c r="I702" s="9"/>
      <c r="J702" s="9"/>
      <c r="K702" s="9"/>
      <c r="L702" s="8" t="s">
        <v>124</v>
      </c>
      <c r="M702" s="9"/>
      <c r="N702" s="9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</row>
    <row r="703" spans="1:31" x14ac:dyDescent="0.25">
      <c r="A703" s="7" t="s">
        <v>1749</v>
      </c>
      <c r="B703" s="8" t="s">
        <v>1750</v>
      </c>
      <c r="C703" s="8"/>
      <c r="D703" s="8" t="s">
        <v>1751</v>
      </c>
      <c r="E703" s="8" t="s">
        <v>1739</v>
      </c>
      <c r="F703" s="7" t="s">
        <v>18</v>
      </c>
      <c r="G703" s="9"/>
      <c r="H703" s="8" t="str">
        <f t="shared" si="9"/>
        <v>17.1.4.2.1. Government Market - Quantity(Kg) govt_market_quantity</v>
      </c>
      <c r="I703" s="9"/>
      <c r="J703" s="9"/>
      <c r="K703" s="8" t="s">
        <v>1752</v>
      </c>
      <c r="L703" s="9"/>
      <c r="M703" s="9"/>
      <c r="N703" s="9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</row>
    <row r="704" spans="1:31" x14ac:dyDescent="0.25">
      <c r="A704" s="7" t="s">
        <v>1753</v>
      </c>
      <c r="B704" s="8" t="s">
        <v>1754</v>
      </c>
      <c r="C704" s="8"/>
      <c r="D704" s="8" t="s">
        <v>1755</v>
      </c>
      <c r="E704" s="8" t="s">
        <v>1744</v>
      </c>
      <c r="F704" s="7" t="s">
        <v>18</v>
      </c>
      <c r="G704" s="9"/>
      <c r="H704" s="8" t="str">
        <f t="shared" si="9"/>
        <v>17.1.4.2.2. Government Market - Price (Rs/Kg) govt_market_price</v>
      </c>
      <c r="I704" s="9"/>
      <c r="J704" s="9"/>
      <c r="K704" s="8" t="s">
        <v>1752</v>
      </c>
      <c r="L704" s="9"/>
      <c r="M704" s="9"/>
      <c r="N704" s="9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</row>
    <row r="705" spans="1:31" x14ac:dyDescent="0.25">
      <c r="A705" s="7" t="s">
        <v>1756</v>
      </c>
      <c r="B705" s="8" t="s">
        <v>1757</v>
      </c>
      <c r="C705" s="8"/>
      <c r="D705" s="8" t="s">
        <v>1758</v>
      </c>
      <c r="E705" s="8" t="s">
        <v>1759</v>
      </c>
      <c r="F705" s="7" t="s">
        <v>123</v>
      </c>
      <c r="G705" s="9"/>
      <c r="H705" s="8" t="str">
        <f t="shared" si="9"/>
        <v>17.1.4.3. On National Agriculture Market (eNAM) Portal enam_portal</v>
      </c>
      <c r="I705" s="9"/>
      <c r="J705" s="9"/>
      <c r="K705" s="9"/>
      <c r="L705" s="8" t="s">
        <v>124</v>
      </c>
      <c r="M705" s="9"/>
      <c r="N705" s="9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</row>
    <row r="706" spans="1:31" x14ac:dyDescent="0.25">
      <c r="A706" s="7" t="s">
        <v>1760</v>
      </c>
      <c r="B706" s="8" t="s">
        <v>1761</v>
      </c>
      <c r="C706" s="8"/>
      <c r="D706" s="8" t="s">
        <v>1762</v>
      </c>
      <c r="E706" s="8" t="s">
        <v>1739</v>
      </c>
      <c r="F706" s="7" t="s">
        <v>18</v>
      </c>
      <c r="G706" s="9"/>
      <c r="H706" s="8" t="str">
        <f t="shared" si="9"/>
        <v>17.1.4.3.1. On National Agriculture Market (ENAM) Portal - Quantity(Kg) enam_portal_quantity</v>
      </c>
      <c r="I706" s="9"/>
      <c r="J706" s="9"/>
      <c r="K706" s="8" t="s">
        <v>1763</v>
      </c>
      <c r="L706" s="9"/>
      <c r="M706" s="9"/>
      <c r="N706" s="9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</row>
    <row r="707" spans="1:31" x14ac:dyDescent="0.25">
      <c r="A707" s="7" t="s">
        <v>1764</v>
      </c>
      <c r="B707" s="8" t="s">
        <v>1765</v>
      </c>
      <c r="C707" s="8"/>
      <c r="D707" s="8" t="s">
        <v>1766</v>
      </c>
      <c r="E707" s="8" t="s">
        <v>1744</v>
      </c>
      <c r="F707" s="7" t="s">
        <v>18</v>
      </c>
      <c r="G707" s="9"/>
      <c r="H707" s="8" t="str">
        <f t="shared" si="9"/>
        <v>17.1.4.3.2. On National Agriculture Market (ENAM) Portal - Price (Rs/Kg) enam_portal_price</v>
      </c>
      <c r="I707" s="9"/>
      <c r="J707" s="9"/>
      <c r="K707" s="8" t="s">
        <v>1763</v>
      </c>
      <c r="L707" s="9"/>
      <c r="M707" s="9"/>
      <c r="N707" s="9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</row>
    <row r="708" spans="1:31" x14ac:dyDescent="0.25">
      <c r="A708" s="7" t="s">
        <v>1767</v>
      </c>
      <c r="B708" s="8" t="s">
        <v>1768</v>
      </c>
      <c r="C708" s="8"/>
      <c r="D708" s="8" t="s">
        <v>1769</v>
      </c>
      <c r="E708" s="8" t="s">
        <v>1770</v>
      </c>
      <c r="F708" s="7" t="s">
        <v>123</v>
      </c>
      <c r="G708" s="9"/>
      <c r="H708" s="8" t="str">
        <f t="shared" si="9"/>
        <v>17.1.4.4. Local Agent local_agent</v>
      </c>
      <c r="I708" s="9"/>
      <c r="J708" s="9"/>
      <c r="K708" s="9"/>
      <c r="L708" s="8" t="s">
        <v>124</v>
      </c>
      <c r="M708" s="9"/>
      <c r="N708" s="9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</row>
    <row r="709" spans="1:31" x14ac:dyDescent="0.25">
      <c r="A709" s="7" t="s">
        <v>1771</v>
      </c>
      <c r="B709" s="8" t="s">
        <v>1772</v>
      </c>
      <c r="C709" s="8"/>
      <c r="D709" s="8" t="s">
        <v>1773</v>
      </c>
      <c r="E709" s="8" t="s">
        <v>1739</v>
      </c>
      <c r="F709" s="7" t="s">
        <v>18</v>
      </c>
      <c r="G709" s="9"/>
      <c r="H709" s="8" t="str">
        <f t="shared" si="9"/>
        <v>17.1.4.4.1. Local Agent - Quantity(Kg) local_agent_quantity</v>
      </c>
      <c r="I709" s="9"/>
      <c r="J709" s="9"/>
      <c r="K709" s="8" t="s">
        <v>1774</v>
      </c>
      <c r="L709" s="9"/>
      <c r="M709" s="9"/>
      <c r="N709" s="9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</row>
    <row r="710" spans="1:31" x14ac:dyDescent="0.25">
      <c r="A710" s="7" t="s">
        <v>1775</v>
      </c>
      <c r="B710" s="8" t="s">
        <v>1776</v>
      </c>
      <c r="C710" s="8"/>
      <c r="D710" s="8" t="s">
        <v>1777</v>
      </c>
      <c r="E710" s="8" t="s">
        <v>1744</v>
      </c>
      <c r="F710" s="7" t="s">
        <v>18</v>
      </c>
      <c r="G710" s="9"/>
      <c r="H710" s="8" t="str">
        <f t="shared" si="9"/>
        <v>17.1.4.4.2. Local Agent - Price (Rs/Kg) local_agent_price</v>
      </c>
      <c r="I710" s="9"/>
      <c r="J710" s="9"/>
      <c r="K710" s="8" t="s">
        <v>1774</v>
      </c>
      <c r="L710" s="9"/>
      <c r="M710" s="9"/>
      <c r="N710" s="9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</row>
    <row r="711" spans="1:31" x14ac:dyDescent="0.25">
      <c r="A711" s="7" t="s">
        <v>1778</v>
      </c>
      <c r="B711" s="8" t="s">
        <v>1779</v>
      </c>
      <c r="C711" s="8"/>
      <c r="D711" s="8" t="s">
        <v>1780</v>
      </c>
      <c r="E711" s="8" t="s">
        <v>1781</v>
      </c>
      <c r="F711" s="7" t="s">
        <v>123</v>
      </c>
      <c r="G711" s="9"/>
      <c r="H711" s="8" t="str">
        <f t="shared" si="9"/>
        <v>17.1.4.5. Private Company private_company</v>
      </c>
      <c r="I711" s="9"/>
      <c r="J711" s="9"/>
      <c r="K711" s="9"/>
      <c r="L711" s="8" t="s">
        <v>124</v>
      </c>
      <c r="M711" s="8" t="s">
        <v>690</v>
      </c>
      <c r="N711" s="9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</row>
    <row r="712" spans="1:31" x14ac:dyDescent="0.25">
      <c r="A712" s="7" t="s">
        <v>1782</v>
      </c>
      <c r="B712" s="8" t="s">
        <v>1783</v>
      </c>
      <c r="C712" s="8"/>
      <c r="D712" s="8" t="s">
        <v>1780</v>
      </c>
      <c r="E712" s="8" t="s">
        <v>1781</v>
      </c>
      <c r="F712" s="7" t="s">
        <v>26</v>
      </c>
      <c r="G712" s="9"/>
      <c r="H712" s="8" t="str">
        <f t="shared" si="9"/>
        <v>17.1.4.5.1. Private Company private_company_listing</v>
      </c>
      <c r="I712" s="9"/>
      <c r="J712" s="9"/>
      <c r="K712" s="8" t="s">
        <v>1784</v>
      </c>
      <c r="L712" s="8" t="s">
        <v>863</v>
      </c>
      <c r="M712" s="8" t="s">
        <v>690</v>
      </c>
      <c r="N712" s="9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</row>
    <row r="713" spans="1:31" x14ac:dyDescent="0.25">
      <c r="A713" s="7" t="s">
        <v>1785</v>
      </c>
      <c r="B713" s="8" t="s">
        <v>1786</v>
      </c>
      <c r="C713" s="8"/>
      <c r="D713" s="8" t="s">
        <v>1787</v>
      </c>
      <c r="E713" s="8" t="s">
        <v>1788</v>
      </c>
      <c r="F713" s="7" t="s">
        <v>18</v>
      </c>
      <c r="G713" s="9"/>
      <c r="H713" s="8" t="str">
        <f t="shared" si="9"/>
        <v>17.1.4.5.1.1. Private Company - Other private_company_listing_other</v>
      </c>
      <c r="I713" s="9"/>
      <c r="J713" s="9"/>
      <c r="K713" s="8" t="s">
        <v>1789</v>
      </c>
      <c r="L713" s="9"/>
      <c r="M713" s="8" t="s">
        <v>690</v>
      </c>
      <c r="N713" s="9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</row>
    <row r="714" spans="1:31" x14ac:dyDescent="0.25">
      <c r="A714" s="7" t="s">
        <v>1790</v>
      </c>
      <c r="B714" s="8" t="s">
        <v>1791</v>
      </c>
      <c r="C714" s="8"/>
      <c r="D714" s="8" t="s">
        <v>1792</v>
      </c>
      <c r="E714" s="8" t="s">
        <v>1739</v>
      </c>
      <c r="F714" s="7" t="s">
        <v>18</v>
      </c>
      <c r="G714" s="9"/>
      <c r="H714" s="8" t="str">
        <f t="shared" si="9"/>
        <v>17.1.4.5.2. Private Company - Quantity(Kg) private_company_quantity</v>
      </c>
      <c r="I714" s="9"/>
      <c r="J714" s="9"/>
      <c r="K714" s="8" t="s">
        <v>1784</v>
      </c>
      <c r="L714" s="9"/>
      <c r="M714" s="8" t="s">
        <v>690</v>
      </c>
      <c r="N714" s="9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</row>
    <row r="715" spans="1:31" x14ac:dyDescent="0.25">
      <c r="A715" s="7" t="s">
        <v>1793</v>
      </c>
      <c r="B715" s="8" t="s">
        <v>1794</v>
      </c>
      <c r="C715" s="8"/>
      <c r="D715" s="8" t="s">
        <v>1795</v>
      </c>
      <c r="E715" s="8" t="s">
        <v>1744</v>
      </c>
      <c r="F715" s="7" t="s">
        <v>18</v>
      </c>
      <c r="G715" s="9"/>
      <c r="H715" s="8" t="str">
        <f t="shared" si="9"/>
        <v>17.1.4.5.3. Private Company - Price (Rs/Kg) private_company_price</v>
      </c>
      <c r="I715" s="9"/>
      <c r="J715" s="9"/>
      <c r="K715" s="8" t="s">
        <v>1784</v>
      </c>
      <c r="L715" s="9"/>
      <c r="M715" s="8" t="s">
        <v>690</v>
      </c>
      <c r="N715" s="9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</row>
    <row r="716" spans="1:31" x14ac:dyDescent="0.25">
      <c r="A716" s="4">
        <v>18</v>
      </c>
      <c r="B716" s="5"/>
      <c r="C716" s="24"/>
      <c r="D716" s="24" t="s">
        <v>1796</v>
      </c>
      <c r="E716" s="24" t="s">
        <v>1797</v>
      </c>
      <c r="F716" s="4" t="s">
        <v>26</v>
      </c>
      <c r="G716" s="5"/>
      <c r="H716" s="24" t="str">
        <f t="shared" si="9"/>
        <v xml:space="preserve">18 Details of Total Costs incurred during Processing of Honey </v>
      </c>
      <c r="I716" s="5"/>
      <c r="J716" s="5"/>
      <c r="K716" s="5"/>
      <c r="L716" s="5"/>
      <c r="M716" s="5"/>
      <c r="N716" s="5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</row>
    <row r="717" spans="1:31" x14ac:dyDescent="0.25">
      <c r="A717" s="12">
        <v>18.100000000000001</v>
      </c>
      <c r="B717" s="3"/>
      <c r="C717" s="21"/>
      <c r="D717" s="21" t="s">
        <v>1798</v>
      </c>
      <c r="E717" s="3"/>
      <c r="F717" s="12" t="s">
        <v>96</v>
      </c>
      <c r="G717" s="3"/>
      <c r="H717" s="21" t="str">
        <f t="shared" si="9"/>
        <v xml:space="preserve">18.1 Details of Inputs </v>
      </c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x14ac:dyDescent="0.25">
      <c r="A718" s="16" t="s">
        <v>1799</v>
      </c>
      <c r="B718" s="8" t="s">
        <v>1800</v>
      </c>
      <c r="C718" s="8"/>
      <c r="D718" s="8" t="s">
        <v>1801</v>
      </c>
      <c r="E718" s="8" t="s">
        <v>1802</v>
      </c>
      <c r="F718" s="7" t="s">
        <v>26</v>
      </c>
      <c r="G718" s="9"/>
      <c r="H718" s="8" t="str">
        <f t="shared" si="9"/>
        <v>18.1.1 Total Cost (Rs.) total_cost</v>
      </c>
      <c r="I718" s="9"/>
      <c r="J718" s="9"/>
      <c r="K718" s="9"/>
      <c r="L718" s="8" t="s">
        <v>1803</v>
      </c>
      <c r="M718" s="9"/>
      <c r="N718" s="9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</row>
    <row r="719" spans="1:31" x14ac:dyDescent="0.25">
      <c r="A719" s="4">
        <v>19</v>
      </c>
      <c r="B719" s="5"/>
      <c r="C719" s="24"/>
      <c r="D719" s="24" t="s">
        <v>1804</v>
      </c>
      <c r="E719" s="24" t="s">
        <v>1805</v>
      </c>
      <c r="F719" s="4" t="s">
        <v>96</v>
      </c>
      <c r="G719" s="5"/>
      <c r="H719" s="24" t="str">
        <f t="shared" si="9"/>
        <v xml:space="preserve">19 Exporting your Beekeeping Produce </v>
      </c>
      <c r="I719" s="5"/>
      <c r="J719" s="5"/>
      <c r="K719" s="5"/>
      <c r="L719" s="5"/>
      <c r="M719" s="5"/>
      <c r="N719" s="5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</row>
    <row r="720" spans="1:31" x14ac:dyDescent="0.25">
      <c r="A720" s="7">
        <v>19</v>
      </c>
      <c r="B720" s="8" t="s">
        <v>1806</v>
      </c>
      <c r="C720" s="8"/>
      <c r="D720" s="8" t="s">
        <v>1807</v>
      </c>
      <c r="E720" s="8" t="s">
        <v>1808</v>
      </c>
      <c r="F720" s="7" t="s">
        <v>123</v>
      </c>
      <c r="G720" s="9"/>
      <c r="H720" s="8" t="str">
        <f t="shared" si="9"/>
        <v>19 Are you exporting your Beekeeping Produce? is_exporting_product</v>
      </c>
      <c r="I720" s="9"/>
      <c r="J720" s="9"/>
      <c r="K720" s="9"/>
      <c r="L720" s="8" t="s">
        <v>124</v>
      </c>
      <c r="M720" s="8" t="s">
        <v>601</v>
      </c>
      <c r="N720" s="9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</row>
    <row r="721" spans="1:31" x14ac:dyDescent="0.25">
      <c r="A721" s="1" t="s">
        <v>1809</v>
      </c>
      <c r="B721" s="3"/>
      <c r="C721" s="2"/>
      <c r="D721" s="2" t="s">
        <v>1810</v>
      </c>
      <c r="E721" s="2" t="s">
        <v>1811</v>
      </c>
      <c r="F721" s="1" t="s">
        <v>96</v>
      </c>
      <c r="G721" s="3"/>
      <c r="H721" s="2" t="str">
        <f t="shared" si="9"/>
        <v xml:space="preserve">19.1. Within the State (Name of District) </v>
      </c>
      <c r="I721" s="3"/>
      <c r="J721" s="3"/>
      <c r="K721" s="2" t="s">
        <v>1812</v>
      </c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x14ac:dyDescent="0.25">
      <c r="A722" s="16" t="s">
        <v>1813</v>
      </c>
      <c r="B722" s="8" t="s">
        <v>1814</v>
      </c>
      <c r="C722" s="8"/>
      <c r="D722" s="8" t="s">
        <v>1810</v>
      </c>
      <c r="E722" s="8" t="s">
        <v>1811</v>
      </c>
      <c r="F722" s="7" t="s">
        <v>123</v>
      </c>
      <c r="G722" s="9"/>
      <c r="H722" s="8" t="str">
        <f t="shared" si="9"/>
        <v>19.1.1. Within the State (Name of District) within_state_p1</v>
      </c>
      <c r="I722" s="9"/>
      <c r="J722" s="9"/>
      <c r="K722" s="8" t="s">
        <v>1812</v>
      </c>
      <c r="L722" s="8" t="s">
        <v>124</v>
      </c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</row>
    <row r="723" spans="1:31" x14ac:dyDescent="0.25">
      <c r="A723" s="7" t="s">
        <v>1815</v>
      </c>
      <c r="B723" s="8" t="s">
        <v>1816</v>
      </c>
      <c r="C723" s="8"/>
      <c r="D723" s="8" t="s">
        <v>1817</v>
      </c>
      <c r="E723" s="8" t="s">
        <v>1818</v>
      </c>
      <c r="F723" s="7" t="s">
        <v>18</v>
      </c>
      <c r="G723" s="9"/>
      <c r="H723" s="8" t="str">
        <f t="shared" si="9"/>
        <v>19.1.1.1. How Many Districts (Names) within_state_p1_district</v>
      </c>
      <c r="I723" s="9"/>
      <c r="J723" s="9"/>
      <c r="K723" s="8" t="s">
        <v>1819</v>
      </c>
      <c r="L723" s="9"/>
      <c r="M723" s="9"/>
      <c r="N723" s="9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</row>
    <row r="724" spans="1:31" x14ac:dyDescent="0.25">
      <c r="A724" s="7" t="s">
        <v>1820</v>
      </c>
      <c r="B724" s="8" t="s">
        <v>1821</v>
      </c>
      <c r="C724" s="8"/>
      <c r="D724" s="8" t="s">
        <v>1822</v>
      </c>
      <c r="E724" s="8" t="s">
        <v>1823</v>
      </c>
      <c r="F724" s="7" t="s">
        <v>18</v>
      </c>
      <c r="G724" s="7" t="s">
        <v>128</v>
      </c>
      <c r="H724" s="8" t="str">
        <f t="shared" si="9"/>
        <v>19.1.1.2. Units (Kg) within_state_p1_unitkg</v>
      </c>
      <c r="I724" s="9"/>
      <c r="J724" s="9"/>
      <c r="K724" s="8" t="s">
        <v>1819</v>
      </c>
      <c r="L724" s="9"/>
      <c r="M724" s="9"/>
      <c r="N724" s="9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</row>
    <row r="725" spans="1:31" x14ac:dyDescent="0.25">
      <c r="A725" s="7" t="s">
        <v>1824</v>
      </c>
      <c r="B725" s="8" t="s">
        <v>1825</v>
      </c>
      <c r="C725" s="8"/>
      <c r="D725" s="8" t="s">
        <v>1826</v>
      </c>
      <c r="E725" s="8" t="s">
        <v>1827</v>
      </c>
      <c r="F725" s="7" t="s">
        <v>18</v>
      </c>
      <c r="G725" s="7" t="s">
        <v>128</v>
      </c>
      <c r="H725" s="8" t="str">
        <f t="shared" si="9"/>
        <v>19.1.1.3. Revenue (Rs.) within_state_p1_revenuers</v>
      </c>
      <c r="I725" s="9"/>
      <c r="J725" s="9"/>
      <c r="K725" s="8" t="s">
        <v>1819</v>
      </c>
      <c r="L725" s="9"/>
      <c r="M725" s="9"/>
      <c r="N725" s="9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</row>
    <row r="726" spans="1:31" x14ac:dyDescent="0.25">
      <c r="A726" s="7" t="s">
        <v>1828</v>
      </c>
      <c r="B726" s="8" t="s">
        <v>1829</v>
      </c>
      <c r="C726" s="8"/>
      <c r="D726" s="8" t="s">
        <v>1830</v>
      </c>
      <c r="E726" s="8" t="s">
        <v>1831</v>
      </c>
      <c r="F726" s="7" t="s">
        <v>26</v>
      </c>
      <c r="G726" s="9"/>
      <c r="H726" s="8" t="str">
        <f t="shared" si="9"/>
        <v>19.1.1.4. By Self  within_state_p1_byself</v>
      </c>
      <c r="I726" s="9"/>
      <c r="J726" s="9"/>
      <c r="K726" s="8" t="s">
        <v>1819</v>
      </c>
      <c r="L726" s="8" t="s">
        <v>124</v>
      </c>
      <c r="M726" s="8" t="s">
        <v>601</v>
      </c>
      <c r="N726" s="9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</row>
    <row r="727" spans="1:31" x14ac:dyDescent="0.25">
      <c r="A727" s="7" t="s">
        <v>1832</v>
      </c>
      <c r="B727" s="8" t="s">
        <v>1833</v>
      </c>
      <c r="C727" s="8"/>
      <c r="D727" s="8" t="s">
        <v>1834</v>
      </c>
      <c r="E727" s="8" t="s">
        <v>1835</v>
      </c>
      <c r="F727" s="7" t="s">
        <v>123</v>
      </c>
      <c r="G727" s="9"/>
      <c r="H727" s="8" t="s">
        <v>1836</v>
      </c>
      <c r="I727" s="9"/>
      <c r="J727" s="9"/>
      <c r="K727" s="8" t="s">
        <v>1819</v>
      </c>
      <c r="L727" s="8" t="s">
        <v>124</v>
      </c>
      <c r="M727" s="9"/>
      <c r="N727" s="9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</row>
    <row r="728" spans="1:31" x14ac:dyDescent="0.25">
      <c r="A728" s="7" t="s">
        <v>1837</v>
      </c>
      <c r="B728" s="8" t="s">
        <v>1838</v>
      </c>
      <c r="C728" s="8"/>
      <c r="D728" s="8" t="s">
        <v>1839</v>
      </c>
      <c r="E728" s="8" t="s">
        <v>1840</v>
      </c>
      <c r="F728" s="7" t="s">
        <v>18</v>
      </c>
      <c r="G728" s="9"/>
      <c r="H728" s="8" t="str">
        <f>CONCATENATE(A728, " ", D728, " ", B727)</f>
        <v>19.1.1.5.1  By Agency (Name) within_state_is_agency</v>
      </c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</row>
    <row r="729" spans="1:31" x14ac:dyDescent="0.25">
      <c r="A729" s="1" t="s">
        <v>1841</v>
      </c>
      <c r="B729" s="3"/>
      <c r="C729" s="2"/>
      <c r="D729" s="2" t="s">
        <v>1842</v>
      </c>
      <c r="E729" s="2" t="s">
        <v>1843</v>
      </c>
      <c r="F729" s="1" t="s">
        <v>96</v>
      </c>
      <c r="G729" s="3"/>
      <c r="H729" s="2" t="str">
        <f t="shared" ref="H729:H734" si="10">CONCATENATE(A729, " ", D729, " ", B729)</f>
        <v xml:space="preserve">19.2. Interstate (Name of State) </v>
      </c>
      <c r="I729" s="3"/>
      <c r="J729" s="3"/>
      <c r="K729" s="2" t="s">
        <v>1812</v>
      </c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x14ac:dyDescent="0.25">
      <c r="A730" s="7" t="s">
        <v>1844</v>
      </c>
      <c r="B730" s="8" t="s">
        <v>1845</v>
      </c>
      <c r="C730" s="8"/>
      <c r="D730" s="8" t="s">
        <v>1842</v>
      </c>
      <c r="E730" s="8" t="s">
        <v>1843</v>
      </c>
      <c r="F730" s="7" t="s">
        <v>123</v>
      </c>
      <c r="G730" s="9"/>
      <c r="H730" s="8" t="str">
        <f t="shared" si="10"/>
        <v>19.2.1. Interstate (Name of State) interstate_p1</v>
      </c>
      <c r="I730" s="9"/>
      <c r="J730" s="9"/>
      <c r="K730" s="8" t="s">
        <v>1812</v>
      </c>
      <c r="L730" s="8" t="s">
        <v>124</v>
      </c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</row>
    <row r="731" spans="1:31" x14ac:dyDescent="0.25">
      <c r="A731" s="7" t="s">
        <v>1846</v>
      </c>
      <c r="B731" s="8" t="s">
        <v>1847</v>
      </c>
      <c r="C731" s="8"/>
      <c r="D731" s="8" t="s">
        <v>1848</v>
      </c>
      <c r="E731" s="8" t="s">
        <v>1849</v>
      </c>
      <c r="F731" s="7" t="s">
        <v>18</v>
      </c>
      <c r="G731" s="9"/>
      <c r="H731" s="8" t="str">
        <f t="shared" si="10"/>
        <v>19.2.1.1. How Many States(Names) interstate_p1_state</v>
      </c>
      <c r="I731" s="9"/>
      <c r="J731" s="9"/>
      <c r="K731" s="8" t="s">
        <v>1850</v>
      </c>
      <c r="L731" s="9"/>
      <c r="M731" s="9"/>
      <c r="N731" s="9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</row>
    <row r="732" spans="1:31" x14ac:dyDescent="0.25">
      <c r="A732" s="7" t="s">
        <v>1851</v>
      </c>
      <c r="B732" s="8" t="s">
        <v>1852</v>
      </c>
      <c r="C732" s="8"/>
      <c r="D732" s="8" t="s">
        <v>1822</v>
      </c>
      <c r="E732" s="8" t="s">
        <v>1823</v>
      </c>
      <c r="F732" s="7" t="s">
        <v>18</v>
      </c>
      <c r="G732" s="7" t="s">
        <v>128</v>
      </c>
      <c r="H732" s="8" t="str">
        <f t="shared" si="10"/>
        <v>19.2.1.2. Units (Kg) interstate_p1_unitkg</v>
      </c>
      <c r="I732" s="9"/>
      <c r="J732" s="9"/>
      <c r="K732" s="8" t="s">
        <v>1850</v>
      </c>
      <c r="L732" s="9"/>
      <c r="M732" s="9"/>
      <c r="N732" s="9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</row>
    <row r="733" spans="1:31" x14ac:dyDescent="0.25">
      <c r="A733" s="7" t="s">
        <v>1853</v>
      </c>
      <c r="B733" s="8" t="s">
        <v>1854</v>
      </c>
      <c r="C733" s="8"/>
      <c r="D733" s="8" t="s">
        <v>1826</v>
      </c>
      <c r="E733" s="8" t="s">
        <v>1827</v>
      </c>
      <c r="F733" s="7" t="s">
        <v>18</v>
      </c>
      <c r="G733" s="7" t="s">
        <v>128</v>
      </c>
      <c r="H733" s="8" t="str">
        <f t="shared" si="10"/>
        <v>19.2.1.3. Revenue (Rs.) interstate_p1_revenuers</v>
      </c>
      <c r="I733" s="9"/>
      <c r="J733" s="9"/>
      <c r="K733" s="8" t="s">
        <v>1850</v>
      </c>
      <c r="L733" s="9"/>
      <c r="M733" s="9"/>
      <c r="N733" s="9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</row>
    <row r="734" spans="1:31" x14ac:dyDescent="0.25">
      <c r="A734" s="7" t="s">
        <v>1855</v>
      </c>
      <c r="B734" s="8" t="s">
        <v>1856</v>
      </c>
      <c r="C734" s="8"/>
      <c r="D734" s="8" t="s">
        <v>1830</v>
      </c>
      <c r="E734" s="8" t="s">
        <v>1831</v>
      </c>
      <c r="F734" s="7" t="s">
        <v>26</v>
      </c>
      <c r="G734" s="9"/>
      <c r="H734" s="8" t="str">
        <f t="shared" si="10"/>
        <v>19.2.1.4. By Self  interstate_p1_byself</v>
      </c>
      <c r="I734" s="9"/>
      <c r="J734" s="9"/>
      <c r="K734" s="8" t="s">
        <v>1850</v>
      </c>
      <c r="L734" s="8" t="s">
        <v>124</v>
      </c>
      <c r="M734" s="9"/>
      <c r="N734" s="9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</row>
    <row r="735" spans="1:31" x14ac:dyDescent="0.25">
      <c r="A735" s="7" t="s">
        <v>1857</v>
      </c>
      <c r="B735" s="8" t="s">
        <v>1858</v>
      </c>
      <c r="C735" s="8"/>
      <c r="D735" s="8" t="s">
        <v>1834</v>
      </c>
      <c r="E735" s="8" t="s">
        <v>1835</v>
      </c>
      <c r="F735" s="7" t="s">
        <v>123</v>
      </c>
      <c r="G735" s="9"/>
      <c r="H735" s="8" t="str">
        <f>CONCATENATE(A735, " ", D735, " ", B734)</f>
        <v>19.2.1.5.  Agency interstate_p1_byself</v>
      </c>
      <c r="I735" s="9"/>
      <c r="J735" s="9"/>
      <c r="K735" s="9"/>
      <c r="L735" s="8" t="s">
        <v>124</v>
      </c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</row>
    <row r="736" spans="1:31" x14ac:dyDescent="0.25">
      <c r="A736" s="7" t="s">
        <v>1859</v>
      </c>
      <c r="B736" s="8" t="s">
        <v>1860</v>
      </c>
      <c r="C736" s="8"/>
      <c r="D736" s="8" t="s">
        <v>1839</v>
      </c>
      <c r="E736" s="8" t="s">
        <v>1840</v>
      </c>
      <c r="F736" s="7" t="s">
        <v>337</v>
      </c>
      <c r="G736" s="9"/>
      <c r="H736" s="8" t="str">
        <f t="shared" ref="H736:H742" si="11">CONCATENATE(A736, " ", D736, " ", B736)</f>
        <v>19.2.1.5.1 By Agency (Name) interstate_p1_agency</v>
      </c>
      <c r="I736" s="9"/>
      <c r="J736" s="9"/>
      <c r="K736" s="8" t="s">
        <v>1850</v>
      </c>
      <c r="L736" s="9"/>
      <c r="M736" s="9"/>
      <c r="N736" s="9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</row>
    <row r="737" spans="1:31" x14ac:dyDescent="0.25">
      <c r="A737" s="1" t="s">
        <v>1861</v>
      </c>
      <c r="B737" s="3"/>
      <c r="C737" s="2"/>
      <c r="D737" s="2" t="s">
        <v>1862</v>
      </c>
      <c r="E737" s="2" t="s">
        <v>1863</v>
      </c>
      <c r="F737" s="1" t="s">
        <v>96</v>
      </c>
      <c r="G737" s="3"/>
      <c r="H737" s="2" t="str">
        <f t="shared" si="11"/>
        <v xml:space="preserve">19.3. Out of Country (Name of Country) </v>
      </c>
      <c r="I737" s="3"/>
      <c r="J737" s="3"/>
      <c r="K737" s="2" t="s">
        <v>1812</v>
      </c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x14ac:dyDescent="0.25">
      <c r="A738" s="7" t="s">
        <v>1864</v>
      </c>
      <c r="B738" s="8" t="s">
        <v>1865</v>
      </c>
      <c r="C738" s="8"/>
      <c r="D738" s="8" t="s">
        <v>1866</v>
      </c>
      <c r="E738" s="8" t="s">
        <v>1863</v>
      </c>
      <c r="F738" s="7" t="s">
        <v>123</v>
      </c>
      <c r="G738" s="9"/>
      <c r="H738" s="8" t="str">
        <f t="shared" si="11"/>
        <v>19.3.1. Out Of Country (Name Of Country) outof_country_p1</v>
      </c>
      <c r="I738" s="9"/>
      <c r="J738" s="9"/>
      <c r="K738" s="8" t="s">
        <v>1812</v>
      </c>
      <c r="L738" s="8" t="s">
        <v>124</v>
      </c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</row>
    <row r="739" spans="1:31" x14ac:dyDescent="0.25">
      <c r="A739" s="7" t="s">
        <v>1867</v>
      </c>
      <c r="B739" s="8" t="s">
        <v>1868</v>
      </c>
      <c r="C739" s="8"/>
      <c r="D739" s="8" t="s">
        <v>1869</v>
      </c>
      <c r="E739" s="8" t="s">
        <v>1870</v>
      </c>
      <c r="F739" s="7" t="s">
        <v>18</v>
      </c>
      <c r="G739" s="9"/>
      <c r="H739" s="8" t="str">
        <f t="shared" si="11"/>
        <v>19.3.1.1. How Many Countries (Names) outof_country_p1_country</v>
      </c>
      <c r="I739" s="9"/>
      <c r="J739" s="9"/>
      <c r="K739" s="8" t="s">
        <v>1871</v>
      </c>
      <c r="L739" s="9"/>
      <c r="M739" s="9"/>
      <c r="N739" s="9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</row>
    <row r="740" spans="1:31" x14ac:dyDescent="0.25">
      <c r="A740" s="7" t="s">
        <v>1872</v>
      </c>
      <c r="B740" s="8" t="s">
        <v>1873</v>
      </c>
      <c r="C740" s="8"/>
      <c r="D740" s="8" t="s">
        <v>1822</v>
      </c>
      <c r="E740" s="8" t="s">
        <v>1823</v>
      </c>
      <c r="F740" s="7" t="s">
        <v>18</v>
      </c>
      <c r="G740" s="7" t="s">
        <v>128</v>
      </c>
      <c r="H740" s="8" t="str">
        <f t="shared" si="11"/>
        <v>19.3.1.2. Units (Kg) outof_country_p1_unitkg</v>
      </c>
      <c r="I740" s="9"/>
      <c r="J740" s="9"/>
      <c r="K740" s="8" t="s">
        <v>1871</v>
      </c>
      <c r="L740" s="9"/>
      <c r="M740" s="9"/>
      <c r="N740" s="9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</row>
    <row r="741" spans="1:31" x14ac:dyDescent="0.25">
      <c r="A741" s="7" t="s">
        <v>1874</v>
      </c>
      <c r="B741" s="8" t="s">
        <v>1875</v>
      </c>
      <c r="C741" s="8"/>
      <c r="D741" s="8" t="s">
        <v>1826</v>
      </c>
      <c r="E741" s="8" t="s">
        <v>1827</v>
      </c>
      <c r="F741" s="7" t="s">
        <v>18</v>
      </c>
      <c r="G741" s="7" t="s">
        <v>128</v>
      </c>
      <c r="H741" s="8" t="str">
        <f t="shared" si="11"/>
        <v>19.3.1.3. Revenue (Rs.) outof_country_p1_revenuers</v>
      </c>
      <c r="I741" s="9"/>
      <c r="J741" s="9"/>
      <c r="K741" s="8" t="s">
        <v>1871</v>
      </c>
      <c r="L741" s="9"/>
      <c r="M741" s="9"/>
      <c r="N741" s="9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</row>
    <row r="742" spans="1:31" x14ac:dyDescent="0.25">
      <c r="A742" s="7" t="s">
        <v>1876</v>
      </c>
      <c r="B742" s="8" t="s">
        <v>1877</v>
      </c>
      <c r="C742" s="8"/>
      <c r="D742" s="8" t="s">
        <v>1830</v>
      </c>
      <c r="E742" s="8" t="s">
        <v>1831</v>
      </c>
      <c r="F742" s="7" t="s">
        <v>26</v>
      </c>
      <c r="G742" s="9"/>
      <c r="H742" s="8" t="str">
        <f t="shared" si="11"/>
        <v>19.3.1.4. By Self  outof_country_p1_byself</v>
      </c>
      <c r="I742" s="9"/>
      <c r="J742" s="9"/>
      <c r="K742" s="8" t="s">
        <v>1871</v>
      </c>
      <c r="L742" s="8" t="s">
        <v>124</v>
      </c>
      <c r="M742" s="9"/>
      <c r="N742" s="9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</row>
    <row r="743" spans="1:31" x14ac:dyDescent="0.25">
      <c r="A743" s="7" t="s">
        <v>1878</v>
      </c>
      <c r="B743" s="8" t="s">
        <v>1879</v>
      </c>
      <c r="C743" s="8"/>
      <c r="D743" s="8" t="s">
        <v>1834</v>
      </c>
      <c r="E743" s="8" t="s">
        <v>1835</v>
      </c>
      <c r="F743" s="7" t="s">
        <v>123</v>
      </c>
      <c r="G743" s="9"/>
      <c r="H743" s="8" t="str">
        <f>CONCATENATE(A743, " ", D743, " ", B742)</f>
        <v>19.3.1.5.  Agency outof_country_p1_byself</v>
      </c>
      <c r="I743" s="9"/>
      <c r="J743" s="9"/>
      <c r="K743" s="9"/>
      <c r="L743" s="8" t="s">
        <v>124</v>
      </c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</row>
    <row r="744" spans="1:31" x14ac:dyDescent="0.25">
      <c r="A744" s="7" t="s">
        <v>1880</v>
      </c>
      <c r="B744" s="8" t="s">
        <v>1881</v>
      </c>
      <c r="C744" s="8"/>
      <c r="D744" s="8" t="s">
        <v>1839</v>
      </c>
      <c r="E744" s="8" t="s">
        <v>1840</v>
      </c>
      <c r="F744" s="7" t="s">
        <v>18</v>
      </c>
      <c r="G744" s="9"/>
      <c r="H744" s="8" t="str">
        <f t="shared" ref="H744:H754" si="12">CONCATENATE(A744, " ", D744, " ", B744)</f>
        <v>19.3.1.5.1 By Agency (Name) outof_country_p1_agency</v>
      </c>
      <c r="I744" s="9"/>
      <c r="J744" s="9"/>
      <c r="K744" s="8" t="s">
        <v>1871</v>
      </c>
      <c r="L744" s="9"/>
      <c r="M744" s="9"/>
      <c r="N744" s="9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</row>
    <row r="745" spans="1:31" x14ac:dyDescent="0.25">
      <c r="A745" s="4">
        <v>20</v>
      </c>
      <c r="B745" s="5"/>
      <c r="C745" s="24"/>
      <c r="D745" s="24" t="s">
        <v>1882</v>
      </c>
      <c r="E745" s="24" t="s">
        <v>1883</v>
      </c>
      <c r="F745" s="4" t="s">
        <v>26</v>
      </c>
      <c r="G745" s="5"/>
      <c r="H745" s="24" t="str">
        <f t="shared" si="12"/>
        <v xml:space="preserve">20 Exporting the Co-Product of Beekeeping </v>
      </c>
      <c r="I745" s="5"/>
      <c r="J745" s="5"/>
      <c r="K745" s="5"/>
      <c r="L745" s="5"/>
      <c r="M745" s="5"/>
      <c r="N745" s="5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</row>
    <row r="746" spans="1:31" x14ac:dyDescent="0.25">
      <c r="A746" s="1" t="s">
        <v>1884</v>
      </c>
      <c r="B746" s="3"/>
      <c r="C746" s="2"/>
      <c r="D746" s="2" t="s">
        <v>1885</v>
      </c>
      <c r="E746" s="2" t="s">
        <v>1886</v>
      </c>
      <c r="F746" s="1" t="s">
        <v>96</v>
      </c>
      <c r="G746" s="3"/>
      <c r="H746" s="2" t="str">
        <f t="shared" si="12"/>
        <v xml:space="preserve">20.1. Are you exporting the Co-Product (Beeswax) of Beekeeping? </v>
      </c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x14ac:dyDescent="0.25">
      <c r="A747" s="7" t="s">
        <v>1884</v>
      </c>
      <c r="B747" s="22" t="s">
        <v>1887</v>
      </c>
      <c r="C747" s="8"/>
      <c r="D747" s="8" t="s">
        <v>1885</v>
      </c>
      <c r="E747" s="8" t="s">
        <v>1886</v>
      </c>
      <c r="F747" s="7" t="s">
        <v>123</v>
      </c>
      <c r="G747" s="9"/>
      <c r="H747" s="8" t="str">
        <f t="shared" si="12"/>
        <v>20.1. Are you exporting the Co-Product (Beeswax) of Beekeeping? isco_beeswax_products</v>
      </c>
      <c r="I747" s="9"/>
      <c r="J747" s="9"/>
      <c r="K747" s="9"/>
      <c r="L747" s="8" t="s">
        <v>124</v>
      </c>
      <c r="M747" s="8" t="s">
        <v>601</v>
      </c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</row>
    <row r="748" spans="1:31" x14ac:dyDescent="0.25">
      <c r="A748" s="1" t="s">
        <v>1888</v>
      </c>
      <c r="B748" s="3"/>
      <c r="C748" s="2"/>
      <c r="D748" s="2" t="s">
        <v>1889</v>
      </c>
      <c r="E748" s="2" t="s">
        <v>1890</v>
      </c>
      <c r="F748" s="1" t="s">
        <v>96</v>
      </c>
      <c r="G748" s="3"/>
      <c r="H748" s="2" t="str">
        <f t="shared" si="12"/>
        <v xml:space="preserve">20.1.1. Within The State (Name Of District) </v>
      </c>
      <c r="I748" s="3"/>
      <c r="J748" s="3"/>
      <c r="K748" s="2" t="s">
        <v>1891</v>
      </c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x14ac:dyDescent="0.25">
      <c r="A749" s="7" t="s">
        <v>1888</v>
      </c>
      <c r="B749" s="8" t="s">
        <v>1892</v>
      </c>
      <c r="C749" s="8"/>
      <c r="D749" s="8" t="s">
        <v>1810</v>
      </c>
      <c r="E749" s="8" t="s">
        <v>1890</v>
      </c>
      <c r="F749" s="7" t="s">
        <v>123</v>
      </c>
      <c r="G749" s="9"/>
      <c r="H749" s="8" t="str">
        <f t="shared" si="12"/>
        <v>20.1.1. Within the State (Name of District) within_state_bw1</v>
      </c>
      <c r="I749" s="9"/>
      <c r="J749" s="9"/>
      <c r="K749" s="8" t="s">
        <v>1891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</row>
    <row r="750" spans="1:31" x14ac:dyDescent="0.25">
      <c r="A750" s="7" t="s">
        <v>1893</v>
      </c>
      <c r="B750" s="8" t="s">
        <v>1894</v>
      </c>
      <c r="C750" s="8"/>
      <c r="D750" s="8" t="s">
        <v>1895</v>
      </c>
      <c r="E750" s="8" t="s">
        <v>1896</v>
      </c>
      <c r="F750" s="7" t="s">
        <v>226</v>
      </c>
      <c r="G750" s="9"/>
      <c r="H750" s="8" t="str">
        <f t="shared" si="12"/>
        <v>20.1.1.1. By Products within_state_bw1_by_products</v>
      </c>
      <c r="I750" s="9"/>
      <c r="J750" s="9"/>
      <c r="K750" s="8" t="s">
        <v>1891</v>
      </c>
      <c r="L750" s="8" t="s">
        <v>124</v>
      </c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</row>
    <row r="751" spans="1:31" x14ac:dyDescent="0.25">
      <c r="A751" s="7" t="s">
        <v>1897</v>
      </c>
      <c r="B751" s="8" t="s">
        <v>1898</v>
      </c>
      <c r="C751" s="8"/>
      <c r="D751" s="8" t="s">
        <v>1817</v>
      </c>
      <c r="E751" s="8" t="s">
        <v>1818</v>
      </c>
      <c r="F751" s="7" t="s">
        <v>18</v>
      </c>
      <c r="G751" s="9"/>
      <c r="H751" s="8" t="str">
        <f t="shared" si="12"/>
        <v>20.1.1.1.1. How Many Districts (Names) within_state_bw1_district</v>
      </c>
      <c r="I751" s="9"/>
      <c r="J751" s="9"/>
      <c r="K751" s="8" t="s">
        <v>1899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</row>
    <row r="752" spans="1:31" x14ac:dyDescent="0.25">
      <c r="A752" s="7" t="s">
        <v>1900</v>
      </c>
      <c r="B752" s="8" t="s">
        <v>1901</v>
      </c>
      <c r="C752" s="8"/>
      <c r="D752" s="8" t="s">
        <v>1822</v>
      </c>
      <c r="E752" s="8" t="s">
        <v>1823</v>
      </c>
      <c r="F752" s="7" t="s">
        <v>18</v>
      </c>
      <c r="G752" s="7" t="s">
        <v>128</v>
      </c>
      <c r="H752" s="8" t="str">
        <f t="shared" si="12"/>
        <v>20.1.1.1.2. Units (Kg) within_state_bw1_unitkg</v>
      </c>
      <c r="I752" s="9"/>
      <c r="J752" s="9"/>
      <c r="K752" s="8" t="s">
        <v>1899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</row>
    <row r="753" spans="1:31" x14ac:dyDescent="0.25">
      <c r="A753" s="7" t="s">
        <v>1902</v>
      </c>
      <c r="B753" s="8" t="s">
        <v>1903</v>
      </c>
      <c r="C753" s="8"/>
      <c r="D753" s="8" t="s">
        <v>1826</v>
      </c>
      <c r="E753" s="8" t="s">
        <v>1827</v>
      </c>
      <c r="F753" s="7" t="s">
        <v>18</v>
      </c>
      <c r="G753" s="7" t="s">
        <v>128</v>
      </c>
      <c r="H753" s="8" t="str">
        <f t="shared" si="12"/>
        <v>20.1.1.1.3. Revenue (Rs.) within_state_bw1_revenuers</v>
      </c>
      <c r="I753" s="9"/>
      <c r="J753" s="9"/>
      <c r="K753" s="8" t="s">
        <v>1899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</row>
    <row r="754" spans="1:31" x14ac:dyDescent="0.25">
      <c r="A754" s="7" t="s">
        <v>1904</v>
      </c>
      <c r="B754" s="8" t="s">
        <v>1905</v>
      </c>
      <c r="C754" s="8"/>
      <c r="D754" s="8" t="s">
        <v>1830</v>
      </c>
      <c r="E754" s="8" t="s">
        <v>1831</v>
      </c>
      <c r="F754" s="7" t="s">
        <v>26</v>
      </c>
      <c r="G754" s="9"/>
      <c r="H754" s="8" t="str">
        <f t="shared" si="12"/>
        <v>20.1.1.1.4. By Self  within_state_bw1_byself</v>
      </c>
      <c r="I754" s="9"/>
      <c r="J754" s="9"/>
      <c r="K754" s="8" t="s">
        <v>1899</v>
      </c>
      <c r="L754" s="8" t="s">
        <v>124</v>
      </c>
      <c r="M754" s="8" t="s">
        <v>601</v>
      </c>
      <c r="N754" s="9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</row>
    <row r="755" spans="1:31" x14ac:dyDescent="0.25">
      <c r="A755" s="7" t="s">
        <v>1906</v>
      </c>
      <c r="B755" s="8" t="s">
        <v>1907</v>
      </c>
      <c r="C755" s="8"/>
      <c r="D755" s="8" t="s">
        <v>1834</v>
      </c>
      <c r="E755" s="8" t="s">
        <v>1835</v>
      </c>
      <c r="F755" s="7" t="s">
        <v>123</v>
      </c>
      <c r="G755" s="9"/>
      <c r="H755" s="8" t="str">
        <f>CONCATENATE(A755, " ", D755, " ", B754)</f>
        <v>20.1.1.1.5.  Agency within_state_bw1_byself</v>
      </c>
      <c r="I755" s="9"/>
      <c r="J755" s="9"/>
      <c r="K755" s="9"/>
      <c r="L755" s="8" t="s">
        <v>124</v>
      </c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</row>
    <row r="756" spans="1:31" x14ac:dyDescent="0.25">
      <c r="A756" s="7" t="s">
        <v>1908</v>
      </c>
      <c r="B756" s="8" t="s">
        <v>1909</v>
      </c>
      <c r="C756" s="8"/>
      <c r="D756" s="8" t="s">
        <v>1839</v>
      </c>
      <c r="E756" s="8" t="s">
        <v>1840</v>
      </c>
      <c r="F756" s="7" t="s">
        <v>337</v>
      </c>
      <c r="G756" s="9"/>
      <c r="H756" s="8" t="str">
        <f t="shared" ref="H756:H763" si="13">CONCATENATE(A756, " ", D756, " ", B756)</f>
        <v>20.1.1.1.5.1 By Agency (Name) within_state_bw1_agency</v>
      </c>
      <c r="I756" s="9"/>
      <c r="J756" s="9"/>
      <c r="K756" s="8" t="s">
        <v>1899</v>
      </c>
      <c r="L756" s="9"/>
      <c r="M756" s="9"/>
      <c r="N756" s="9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</row>
    <row r="757" spans="1:31" x14ac:dyDescent="0.25">
      <c r="A757" s="1" t="s">
        <v>1910</v>
      </c>
      <c r="B757" s="3"/>
      <c r="C757" s="2"/>
      <c r="D757" s="2" t="s">
        <v>1842</v>
      </c>
      <c r="E757" s="2" t="s">
        <v>1843</v>
      </c>
      <c r="F757" s="1" t="s">
        <v>96</v>
      </c>
      <c r="G757" s="3"/>
      <c r="H757" s="2" t="str">
        <f t="shared" si="13"/>
        <v xml:space="preserve">20.1.2. Interstate (Name of State) </v>
      </c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x14ac:dyDescent="0.25">
      <c r="A758" s="7" t="s">
        <v>1911</v>
      </c>
      <c r="B758" s="8" t="s">
        <v>1912</v>
      </c>
      <c r="C758" s="8"/>
      <c r="D758" s="8" t="s">
        <v>1842</v>
      </c>
      <c r="E758" s="8" t="s">
        <v>1843</v>
      </c>
      <c r="F758" s="7" t="s">
        <v>123</v>
      </c>
      <c r="G758" s="9"/>
      <c r="H758" s="8" t="str">
        <f t="shared" si="13"/>
        <v>20.1.2.1. Interstate (Name of State) interstate_bw1</v>
      </c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</row>
    <row r="759" spans="1:31" x14ac:dyDescent="0.25">
      <c r="A759" s="7" t="s">
        <v>1911</v>
      </c>
      <c r="B759" s="8" t="s">
        <v>1913</v>
      </c>
      <c r="C759" s="8"/>
      <c r="D759" s="8" t="s">
        <v>1895</v>
      </c>
      <c r="E759" s="8" t="s">
        <v>1896</v>
      </c>
      <c r="F759" s="7" t="s">
        <v>226</v>
      </c>
      <c r="G759" s="9"/>
      <c r="H759" s="8" t="str">
        <f t="shared" si="13"/>
        <v>20.1.2.1. By Products interstate_bw1_by_product</v>
      </c>
      <c r="I759" s="9"/>
      <c r="J759" s="9"/>
      <c r="K759" s="9"/>
      <c r="L759" s="8" t="s">
        <v>124</v>
      </c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</row>
    <row r="760" spans="1:31" x14ac:dyDescent="0.25">
      <c r="A760" s="7" t="s">
        <v>1914</v>
      </c>
      <c r="B760" s="8" t="s">
        <v>1915</v>
      </c>
      <c r="C760" s="8"/>
      <c r="D760" s="8" t="s">
        <v>1916</v>
      </c>
      <c r="E760" s="8" t="s">
        <v>1849</v>
      </c>
      <c r="F760" s="7" t="s">
        <v>18</v>
      </c>
      <c r="G760" s="9"/>
      <c r="H760" s="8" t="str">
        <f t="shared" si="13"/>
        <v>20.1.2.1.1. Name of State interstate_bw1_state</v>
      </c>
      <c r="I760" s="9"/>
      <c r="J760" s="9"/>
      <c r="K760" s="8" t="s">
        <v>1917</v>
      </c>
      <c r="L760" s="9"/>
      <c r="M760" s="9"/>
      <c r="N760" s="9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</row>
    <row r="761" spans="1:31" x14ac:dyDescent="0.25">
      <c r="A761" s="7" t="s">
        <v>1918</v>
      </c>
      <c r="B761" s="8" t="s">
        <v>1919</v>
      </c>
      <c r="C761" s="8"/>
      <c r="D761" s="8" t="s">
        <v>1822</v>
      </c>
      <c r="E761" s="8" t="s">
        <v>1823</v>
      </c>
      <c r="F761" s="7" t="s">
        <v>18</v>
      </c>
      <c r="G761" s="7" t="s">
        <v>128</v>
      </c>
      <c r="H761" s="8" t="str">
        <f t="shared" si="13"/>
        <v>20.1.2.1.2. Units (Kg) interstate_bw1_unitkg</v>
      </c>
      <c r="I761" s="9"/>
      <c r="J761" s="9"/>
      <c r="K761" s="8" t="s">
        <v>1917</v>
      </c>
      <c r="L761" s="9"/>
      <c r="M761" s="9"/>
      <c r="N761" s="9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</row>
    <row r="762" spans="1:31" x14ac:dyDescent="0.25">
      <c r="A762" s="7" t="s">
        <v>1920</v>
      </c>
      <c r="B762" s="8" t="s">
        <v>1921</v>
      </c>
      <c r="C762" s="8"/>
      <c r="D762" s="8" t="s">
        <v>1826</v>
      </c>
      <c r="E762" s="8" t="s">
        <v>1827</v>
      </c>
      <c r="F762" s="7" t="s">
        <v>18</v>
      </c>
      <c r="G762" s="7" t="s">
        <v>128</v>
      </c>
      <c r="H762" s="8" t="str">
        <f t="shared" si="13"/>
        <v>20.1.2.1.3. Revenue (Rs.) interstate_bw1_revenuers</v>
      </c>
      <c r="I762" s="9"/>
      <c r="J762" s="9"/>
      <c r="K762" s="8" t="s">
        <v>1917</v>
      </c>
      <c r="L762" s="9"/>
      <c r="M762" s="9"/>
      <c r="N762" s="9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</row>
    <row r="763" spans="1:31" x14ac:dyDescent="0.25">
      <c r="A763" s="7" t="s">
        <v>1922</v>
      </c>
      <c r="B763" s="8" t="s">
        <v>1923</v>
      </c>
      <c r="C763" s="8"/>
      <c r="D763" s="8" t="s">
        <v>1830</v>
      </c>
      <c r="E763" s="8" t="s">
        <v>1831</v>
      </c>
      <c r="F763" s="7" t="s">
        <v>26</v>
      </c>
      <c r="G763" s="9"/>
      <c r="H763" s="8" t="str">
        <f t="shared" si="13"/>
        <v>20.1.2.1.4. By Self  interstate_bw1_byself</v>
      </c>
      <c r="I763" s="9"/>
      <c r="J763" s="9"/>
      <c r="K763" s="8" t="s">
        <v>1917</v>
      </c>
      <c r="L763" s="8" t="s">
        <v>124</v>
      </c>
      <c r="M763" s="9"/>
      <c r="N763" s="9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</row>
    <row r="764" spans="1:31" x14ac:dyDescent="0.25">
      <c r="A764" s="7" t="s">
        <v>1924</v>
      </c>
      <c r="B764" s="8" t="s">
        <v>1925</v>
      </c>
      <c r="C764" s="8"/>
      <c r="D764" s="8" t="s">
        <v>1834</v>
      </c>
      <c r="E764" s="8" t="s">
        <v>1835</v>
      </c>
      <c r="F764" s="7" t="s">
        <v>123</v>
      </c>
      <c r="G764" s="9"/>
      <c r="H764" s="8" t="str">
        <f>CONCATENATE(A764, " ", D764, " ", B763)</f>
        <v>20.1.2.1.5. Agency interstate_bw1_byself</v>
      </c>
      <c r="I764" s="9"/>
      <c r="J764" s="9"/>
      <c r="K764" s="9"/>
      <c r="L764" s="8" t="s">
        <v>124</v>
      </c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</row>
    <row r="765" spans="1:31" x14ac:dyDescent="0.25">
      <c r="A765" s="7" t="s">
        <v>1926</v>
      </c>
      <c r="B765" s="8" t="s">
        <v>1927</v>
      </c>
      <c r="C765" s="8"/>
      <c r="D765" s="8" t="s">
        <v>1839</v>
      </c>
      <c r="E765" s="8" t="s">
        <v>1840</v>
      </c>
      <c r="F765" s="7" t="s">
        <v>337</v>
      </c>
      <c r="G765" s="9"/>
      <c r="H765" s="8" t="str">
        <f t="shared" ref="H765:H772" si="14">CONCATENATE(A765, " ", D765, " ", B765)</f>
        <v>20.1.2.1.5.1 By Agency (Name) interstate_bw1_agency</v>
      </c>
      <c r="I765" s="9"/>
      <c r="J765" s="9"/>
      <c r="K765" s="8" t="s">
        <v>1917</v>
      </c>
      <c r="L765" s="9"/>
      <c r="M765" s="9"/>
      <c r="N765" s="9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</row>
    <row r="766" spans="1:31" x14ac:dyDescent="0.25">
      <c r="A766" s="1" t="s">
        <v>1928</v>
      </c>
      <c r="B766" s="3"/>
      <c r="C766" s="2"/>
      <c r="D766" s="2" t="s">
        <v>1862</v>
      </c>
      <c r="E766" s="2" t="s">
        <v>1863</v>
      </c>
      <c r="F766" s="1" t="s">
        <v>96</v>
      </c>
      <c r="G766" s="3"/>
      <c r="H766" s="2" t="str">
        <f t="shared" si="14"/>
        <v xml:space="preserve">20.1.3. Out of Country (Name of Country) </v>
      </c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x14ac:dyDescent="0.25">
      <c r="A767" s="7" t="s">
        <v>1929</v>
      </c>
      <c r="B767" s="8" t="s">
        <v>1930</v>
      </c>
      <c r="C767" s="8"/>
      <c r="D767" s="8" t="s">
        <v>1862</v>
      </c>
      <c r="E767" s="8" t="s">
        <v>1863</v>
      </c>
      <c r="F767" s="7" t="s">
        <v>123</v>
      </c>
      <c r="G767" s="9"/>
      <c r="H767" s="8" t="str">
        <f t="shared" si="14"/>
        <v>20.1.3.1. Out of Country (Name of Country) outof_country_bw1</v>
      </c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</row>
    <row r="768" spans="1:31" x14ac:dyDescent="0.25">
      <c r="A768" s="7" t="s">
        <v>1929</v>
      </c>
      <c r="B768" s="8" t="s">
        <v>1931</v>
      </c>
      <c r="C768" s="8"/>
      <c r="D768" s="8" t="s">
        <v>1895</v>
      </c>
      <c r="E768" s="8" t="s">
        <v>1896</v>
      </c>
      <c r="F768" s="7" t="s">
        <v>226</v>
      </c>
      <c r="G768" s="9"/>
      <c r="H768" s="8" t="str">
        <f t="shared" si="14"/>
        <v>20.1.3.1. By Products outof_country_bw1_by_product</v>
      </c>
      <c r="I768" s="9"/>
      <c r="J768" s="9"/>
      <c r="K768" s="9"/>
      <c r="L768" s="8" t="s">
        <v>124</v>
      </c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</row>
    <row r="769" spans="1:31" x14ac:dyDescent="0.25">
      <c r="A769" s="7" t="s">
        <v>1932</v>
      </c>
      <c r="B769" s="8" t="s">
        <v>1933</v>
      </c>
      <c r="C769" s="8"/>
      <c r="D769" s="8" t="s">
        <v>1934</v>
      </c>
      <c r="E769" s="8" t="s">
        <v>1870</v>
      </c>
      <c r="F769" s="7" t="s">
        <v>18</v>
      </c>
      <c r="G769" s="9"/>
      <c r="H769" s="8" t="str">
        <f t="shared" si="14"/>
        <v>20.1.3.1.1. Name of Country outof_country_bw1_country</v>
      </c>
      <c r="I769" s="9"/>
      <c r="J769" s="9"/>
      <c r="K769" s="8" t="s">
        <v>1935</v>
      </c>
      <c r="L769" s="9"/>
      <c r="M769" s="9"/>
      <c r="N769" s="9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</row>
    <row r="770" spans="1:31" x14ac:dyDescent="0.25">
      <c r="A770" s="7" t="s">
        <v>1936</v>
      </c>
      <c r="B770" s="8" t="s">
        <v>1937</v>
      </c>
      <c r="C770" s="8"/>
      <c r="D770" s="8" t="s">
        <v>1822</v>
      </c>
      <c r="E770" s="8" t="s">
        <v>1823</v>
      </c>
      <c r="F770" s="7" t="s">
        <v>18</v>
      </c>
      <c r="G770" s="7" t="s">
        <v>128</v>
      </c>
      <c r="H770" s="8" t="str">
        <f t="shared" si="14"/>
        <v>20.1.3.1.2. Units (Kg) outof_country_bw1_unitkg</v>
      </c>
      <c r="I770" s="9"/>
      <c r="J770" s="9"/>
      <c r="K770" s="8" t="s">
        <v>1935</v>
      </c>
      <c r="L770" s="9"/>
      <c r="M770" s="9"/>
      <c r="N770" s="9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</row>
    <row r="771" spans="1:31" x14ac:dyDescent="0.25">
      <c r="A771" s="7" t="s">
        <v>1938</v>
      </c>
      <c r="B771" s="8" t="s">
        <v>1939</v>
      </c>
      <c r="C771" s="8"/>
      <c r="D771" s="8" t="s">
        <v>1826</v>
      </c>
      <c r="E771" s="8" t="s">
        <v>1827</v>
      </c>
      <c r="F771" s="7" t="s">
        <v>18</v>
      </c>
      <c r="G771" s="7" t="s">
        <v>128</v>
      </c>
      <c r="H771" s="8" t="str">
        <f t="shared" si="14"/>
        <v>20.1.3.1.3. Revenue (Rs.) outof_country_bw1_revenuers</v>
      </c>
      <c r="I771" s="9"/>
      <c r="J771" s="9"/>
      <c r="K771" s="8" t="s">
        <v>1935</v>
      </c>
      <c r="L771" s="9"/>
      <c r="M771" s="9"/>
      <c r="N771" s="9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</row>
    <row r="772" spans="1:31" x14ac:dyDescent="0.25">
      <c r="A772" s="7" t="s">
        <v>1940</v>
      </c>
      <c r="B772" s="8" t="s">
        <v>1941</v>
      </c>
      <c r="C772" s="8"/>
      <c r="D772" s="8" t="s">
        <v>1830</v>
      </c>
      <c r="E772" s="8" t="s">
        <v>1831</v>
      </c>
      <c r="F772" s="7" t="s">
        <v>26</v>
      </c>
      <c r="G772" s="9"/>
      <c r="H772" s="8" t="str">
        <f t="shared" si="14"/>
        <v>20.1.3.1.4. By Self  outof_country_bw1_byself</v>
      </c>
      <c r="I772" s="9"/>
      <c r="J772" s="9"/>
      <c r="K772" s="8" t="s">
        <v>1935</v>
      </c>
      <c r="L772" s="8" t="s">
        <v>124</v>
      </c>
      <c r="M772" s="9"/>
      <c r="N772" s="9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</row>
    <row r="773" spans="1:31" x14ac:dyDescent="0.25">
      <c r="A773" s="7" t="s">
        <v>1942</v>
      </c>
      <c r="B773" s="8" t="s">
        <v>1943</v>
      </c>
      <c r="C773" s="8"/>
      <c r="D773" s="8" t="s">
        <v>1834</v>
      </c>
      <c r="E773" s="8" t="s">
        <v>1835</v>
      </c>
      <c r="F773" s="7" t="s">
        <v>123</v>
      </c>
      <c r="G773" s="9"/>
      <c r="H773" s="8" t="str">
        <f>CONCATENATE(A773, " ", D773, " ", B772)</f>
        <v>20.1.3.1.5. Agency outof_country_bw1_byself</v>
      </c>
      <c r="I773" s="9"/>
      <c r="J773" s="9"/>
      <c r="K773" s="9"/>
      <c r="L773" s="8" t="s">
        <v>124</v>
      </c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</row>
    <row r="774" spans="1:31" x14ac:dyDescent="0.25">
      <c r="A774" s="7" t="s">
        <v>1944</v>
      </c>
      <c r="B774" s="8" t="s">
        <v>1945</v>
      </c>
      <c r="C774" s="8"/>
      <c r="D774" s="8" t="s">
        <v>1839</v>
      </c>
      <c r="E774" s="8" t="s">
        <v>1840</v>
      </c>
      <c r="F774" s="7" t="s">
        <v>18</v>
      </c>
      <c r="G774" s="9"/>
      <c r="H774" s="8" t="str">
        <f t="shared" ref="H774:H882" si="15">CONCATENATE(A774, " ", D774, " ", B774)</f>
        <v>20.1.3.1.5.1 By Agency (Name) outof_country_bw1_agency</v>
      </c>
      <c r="I774" s="9"/>
      <c r="J774" s="9"/>
      <c r="K774" s="8" t="s">
        <v>1935</v>
      </c>
      <c r="L774" s="9"/>
      <c r="M774" s="9"/>
      <c r="N774" s="9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</row>
    <row r="775" spans="1:31" x14ac:dyDescent="0.25">
      <c r="A775" s="4">
        <v>21</v>
      </c>
      <c r="B775" s="5"/>
      <c r="C775" s="24"/>
      <c r="D775" s="24" t="s">
        <v>1946</v>
      </c>
      <c r="E775" s="24" t="s">
        <v>1947</v>
      </c>
      <c r="F775" s="4" t="s">
        <v>96</v>
      </c>
      <c r="G775" s="5"/>
      <c r="H775" s="24" t="str">
        <f t="shared" si="15"/>
        <v xml:space="preserve">21 Market Competition </v>
      </c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</row>
    <row r="776" spans="1:31" x14ac:dyDescent="0.25">
      <c r="A776" s="7">
        <v>21</v>
      </c>
      <c r="B776" s="8" t="s">
        <v>1948</v>
      </c>
      <c r="C776" s="8"/>
      <c r="D776" s="8" t="s">
        <v>1949</v>
      </c>
      <c r="E776" s="8" t="s">
        <v>1950</v>
      </c>
      <c r="F776" s="7" t="s">
        <v>26</v>
      </c>
      <c r="G776" s="9"/>
      <c r="H776" s="8" t="str">
        <f t="shared" si="15"/>
        <v>21 What kind of competition do you face in the Market? market_competition</v>
      </c>
      <c r="I776" s="9"/>
      <c r="J776" s="9"/>
      <c r="K776" s="9"/>
      <c r="L776" s="8" t="s">
        <v>1951</v>
      </c>
      <c r="M776" s="8" t="s">
        <v>1952</v>
      </c>
      <c r="N776" s="9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</row>
    <row r="777" spans="1:31" x14ac:dyDescent="0.25">
      <c r="A777" s="7">
        <v>21.1</v>
      </c>
      <c r="B777" s="8" t="s">
        <v>1953</v>
      </c>
      <c r="C777" s="8"/>
      <c r="D777" s="8" t="s">
        <v>1954</v>
      </c>
      <c r="E777" s="8" t="s">
        <v>1955</v>
      </c>
      <c r="F777" s="7" t="s">
        <v>18</v>
      </c>
      <c r="G777" s="9"/>
      <c r="H777" s="8" t="str">
        <f t="shared" si="15"/>
        <v>21.1 Market Competition - Other market_competition_other</v>
      </c>
      <c r="I777" s="9"/>
      <c r="J777" s="9"/>
      <c r="K777" s="8" t="s">
        <v>1956</v>
      </c>
      <c r="L777" s="9"/>
      <c r="M777" s="9"/>
      <c r="N777" s="9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</row>
    <row r="778" spans="1:31" x14ac:dyDescent="0.25">
      <c r="A778" s="4">
        <v>22</v>
      </c>
      <c r="B778" s="24" t="s">
        <v>1957</v>
      </c>
      <c r="C778" s="24"/>
      <c r="D778" s="24" t="s">
        <v>1958</v>
      </c>
      <c r="E778" s="24" t="s">
        <v>1959</v>
      </c>
      <c r="F778" s="4" t="s">
        <v>26</v>
      </c>
      <c r="G778" s="5"/>
      <c r="H778" s="24" t="str">
        <f t="shared" si="15"/>
        <v>22 Do you know about the Boards / Commissions formed by the Government for promotion and development of technology related to Beekeeping as well as Schemes?  beekeeping_technology</v>
      </c>
      <c r="I778" s="5"/>
      <c r="J778" s="5"/>
      <c r="K778" s="5"/>
      <c r="L778" s="24" t="s">
        <v>124</v>
      </c>
      <c r="M778" s="24" t="s">
        <v>601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</row>
    <row r="779" spans="1:31" x14ac:dyDescent="0.25">
      <c r="A779" s="12" t="s">
        <v>1960</v>
      </c>
      <c r="B779" s="3"/>
      <c r="C779" s="21"/>
      <c r="D779" s="21" t="s">
        <v>1961</v>
      </c>
      <c r="E779" s="21" t="s">
        <v>1962</v>
      </c>
      <c r="F779" s="12" t="s">
        <v>96</v>
      </c>
      <c r="G779" s="3"/>
      <c r="H779" s="21" t="str">
        <f t="shared" si="15"/>
        <v xml:space="preserve">22.1. National Beekeeping Mission </v>
      </c>
      <c r="I779" s="3"/>
      <c r="J779" s="3"/>
      <c r="K779" s="21" t="s">
        <v>1963</v>
      </c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x14ac:dyDescent="0.25">
      <c r="A780" s="7" t="s">
        <v>1960</v>
      </c>
      <c r="B780" s="8" t="s">
        <v>1964</v>
      </c>
      <c r="C780" s="8"/>
      <c r="D780" s="8" t="s">
        <v>1961</v>
      </c>
      <c r="E780" s="8" t="s">
        <v>1962</v>
      </c>
      <c r="F780" s="7" t="s">
        <v>26</v>
      </c>
      <c r="G780" s="9"/>
      <c r="H780" s="8" t="str">
        <f t="shared" si="15"/>
        <v>22.1. National Beekeeping Mission national_beekeeping_mission</v>
      </c>
      <c r="I780" s="9"/>
      <c r="J780" s="9"/>
      <c r="K780" s="8" t="s">
        <v>1963</v>
      </c>
      <c r="L780" s="8" t="s">
        <v>124</v>
      </c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</row>
    <row r="781" spans="1:31" x14ac:dyDescent="0.25">
      <c r="A781" s="7" t="s">
        <v>1965</v>
      </c>
      <c r="B781" s="8" t="s">
        <v>1966</v>
      </c>
      <c r="C781" s="8"/>
      <c r="D781" s="8" t="s">
        <v>1967</v>
      </c>
      <c r="E781" s="8" t="s">
        <v>1968</v>
      </c>
      <c r="F781" s="7" t="s">
        <v>26</v>
      </c>
      <c r="G781" s="9"/>
      <c r="H781" s="8" t="str">
        <f t="shared" si="15"/>
        <v>22.1.1. Are you familiar with it? nbm_famillar</v>
      </c>
      <c r="I781" s="9"/>
      <c r="J781" s="9"/>
      <c r="K781" s="8" t="s">
        <v>1969</v>
      </c>
      <c r="L781" s="8" t="s">
        <v>124</v>
      </c>
      <c r="M781" s="8" t="s">
        <v>601</v>
      </c>
      <c r="N781" s="9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</row>
    <row r="782" spans="1:31" x14ac:dyDescent="0.25">
      <c r="A782" s="7" t="s">
        <v>1970</v>
      </c>
      <c r="B782" s="8" t="s">
        <v>1971</v>
      </c>
      <c r="C782" s="8"/>
      <c r="D782" s="8" t="s">
        <v>1972</v>
      </c>
      <c r="E782" s="8" t="s">
        <v>1973</v>
      </c>
      <c r="F782" s="7" t="s">
        <v>26</v>
      </c>
      <c r="G782" s="9"/>
      <c r="H782" s="8" t="str">
        <f t="shared" si="15"/>
        <v>22.1.2. Are you Registered? nbm_registered</v>
      </c>
      <c r="I782" s="9"/>
      <c r="J782" s="9"/>
      <c r="K782" s="8" t="s">
        <v>1969</v>
      </c>
      <c r="L782" s="8" t="s">
        <v>124</v>
      </c>
      <c r="M782" s="8" t="s">
        <v>601</v>
      </c>
      <c r="N782" s="9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</row>
    <row r="783" spans="1:31" x14ac:dyDescent="0.25">
      <c r="A783" s="7" t="s">
        <v>1974</v>
      </c>
      <c r="B783" s="8" t="s">
        <v>1975</v>
      </c>
      <c r="C783" s="8"/>
      <c r="D783" s="8" t="s">
        <v>1976</v>
      </c>
      <c r="E783" s="8" t="s">
        <v>1977</v>
      </c>
      <c r="F783" s="7" t="s">
        <v>18</v>
      </c>
      <c r="G783" s="9"/>
      <c r="H783" s="8" t="str">
        <f t="shared" si="15"/>
        <v>22.1.3. Have you availed any benefit from this Scheme? So what nbm_availed_benefit</v>
      </c>
      <c r="I783" s="9"/>
      <c r="J783" s="9"/>
      <c r="K783" s="8" t="s">
        <v>1969</v>
      </c>
      <c r="L783" s="9"/>
      <c r="M783" s="9"/>
      <c r="N783" s="9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</row>
    <row r="784" spans="1:31" x14ac:dyDescent="0.25">
      <c r="A784" s="12" t="s">
        <v>1978</v>
      </c>
      <c r="B784" s="3"/>
      <c r="C784" s="21"/>
      <c r="D784" s="21" t="s">
        <v>1979</v>
      </c>
      <c r="E784" s="21" t="s">
        <v>1980</v>
      </c>
      <c r="F784" s="12" t="s">
        <v>96</v>
      </c>
      <c r="G784" s="3"/>
      <c r="H784" s="21" t="str">
        <f t="shared" si="15"/>
        <v xml:space="preserve">22.2. Sweet Revolution (KVIC) </v>
      </c>
      <c r="I784" s="3"/>
      <c r="J784" s="3"/>
      <c r="K784" s="21" t="s">
        <v>1963</v>
      </c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x14ac:dyDescent="0.25">
      <c r="A785" s="7" t="s">
        <v>1978</v>
      </c>
      <c r="B785" s="8" t="s">
        <v>1981</v>
      </c>
      <c r="C785" s="8"/>
      <c r="D785" s="8" t="s">
        <v>1979</v>
      </c>
      <c r="E785" s="8" t="s">
        <v>1980</v>
      </c>
      <c r="F785" s="7" t="s">
        <v>26</v>
      </c>
      <c r="G785" s="9"/>
      <c r="H785" s="8" t="str">
        <f t="shared" si="15"/>
        <v>22.2. Sweet Revolution (KVIC) sweet_revolution_kvic</v>
      </c>
      <c r="I785" s="9"/>
      <c r="J785" s="9"/>
      <c r="K785" s="8" t="s">
        <v>1963</v>
      </c>
      <c r="L785" s="8" t="s">
        <v>124</v>
      </c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</row>
    <row r="786" spans="1:31" x14ac:dyDescent="0.25">
      <c r="A786" s="7" t="s">
        <v>1982</v>
      </c>
      <c r="B786" s="8" t="s">
        <v>1983</v>
      </c>
      <c r="C786" s="8"/>
      <c r="D786" s="8" t="s">
        <v>1967</v>
      </c>
      <c r="E786" s="8" t="s">
        <v>1968</v>
      </c>
      <c r="F786" s="7" t="s">
        <v>26</v>
      </c>
      <c r="G786" s="9"/>
      <c r="H786" s="8" t="str">
        <f t="shared" si="15"/>
        <v>22.2.1. Are you familiar with it? srkvic_famillar</v>
      </c>
      <c r="I786" s="9"/>
      <c r="J786" s="9"/>
      <c r="K786" s="8" t="s">
        <v>1984</v>
      </c>
      <c r="L786" s="8" t="s">
        <v>124</v>
      </c>
      <c r="M786" s="8" t="s">
        <v>601</v>
      </c>
      <c r="N786" s="9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</row>
    <row r="787" spans="1:31" x14ac:dyDescent="0.25">
      <c r="A787" s="7" t="s">
        <v>1985</v>
      </c>
      <c r="B787" s="8" t="s">
        <v>1986</v>
      </c>
      <c r="C787" s="8"/>
      <c r="D787" s="8" t="s">
        <v>1972</v>
      </c>
      <c r="E787" s="8" t="s">
        <v>1973</v>
      </c>
      <c r="F787" s="7" t="s">
        <v>26</v>
      </c>
      <c r="G787" s="9"/>
      <c r="H787" s="8" t="str">
        <f t="shared" si="15"/>
        <v>22.2.2. Are you Registered? srkvic_registered</v>
      </c>
      <c r="I787" s="9"/>
      <c r="J787" s="9"/>
      <c r="K787" s="8" t="s">
        <v>1984</v>
      </c>
      <c r="L787" s="8" t="s">
        <v>124</v>
      </c>
      <c r="M787" s="8" t="s">
        <v>601</v>
      </c>
      <c r="N787" s="9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</row>
    <row r="788" spans="1:31" x14ac:dyDescent="0.25">
      <c r="A788" s="7" t="s">
        <v>1987</v>
      </c>
      <c r="B788" s="8" t="s">
        <v>1988</v>
      </c>
      <c r="C788" s="8"/>
      <c r="D788" s="8" t="s">
        <v>1976</v>
      </c>
      <c r="E788" s="8" t="s">
        <v>1977</v>
      </c>
      <c r="F788" s="7" t="s">
        <v>18</v>
      </c>
      <c r="G788" s="9"/>
      <c r="H788" s="8" t="str">
        <f t="shared" si="15"/>
        <v>22.2.3. Have you availed any benefit from this Scheme? So what srkvic_availed_benefit</v>
      </c>
      <c r="I788" s="9"/>
      <c r="J788" s="9"/>
      <c r="K788" s="8" t="s">
        <v>1984</v>
      </c>
      <c r="L788" s="9"/>
      <c r="M788" s="9"/>
      <c r="N788" s="9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</row>
    <row r="789" spans="1:31" x14ac:dyDescent="0.25">
      <c r="A789" s="12" t="s">
        <v>1989</v>
      </c>
      <c r="B789" s="3"/>
      <c r="C789" s="21"/>
      <c r="D789" s="21" t="s">
        <v>1990</v>
      </c>
      <c r="E789" s="21" t="s">
        <v>1991</v>
      </c>
      <c r="F789" s="12" t="s">
        <v>96</v>
      </c>
      <c r="G789" s="3"/>
      <c r="H789" s="21" t="str">
        <f t="shared" si="15"/>
        <v xml:space="preserve">22.3. Development of Bee breeders </v>
      </c>
      <c r="I789" s="3"/>
      <c r="J789" s="3"/>
      <c r="K789" s="21" t="s">
        <v>1963</v>
      </c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x14ac:dyDescent="0.25">
      <c r="A790" s="7" t="s">
        <v>1989</v>
      </c>
      <c r="B790" s="8" t="s">
        <v>1992</v>
      </c>
      <c r="C790" s="8"/>
      <c r="D790" s="8" t="s">
        <v>1990</v>
      </c>
      <c r="E790" s="8" t="s">
        <v>1991</v>
      </c>
      <c r="F790" s="7" t="s">
        <v>26</v>
      </c>
      <c r="G790" s="9"/>
      <c r="H790" s="8" t="str">
        <f t="shared" si="15"/>
        <v>22.3. Development of Bee breeders development_bee_breeders</v>
      </c>
      <c r="I790" s="9"/>
      <c r="J790" s="9"/>
      <c r="K790" s="8" t="s">
        <v>1963</v>
      </c>
      <c r="L790" s="8" t="s">
        <v>124</v>
      </c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</row>
    <row r="791" spans="1:31" x14ac:dyDescent="0.25">
      <c r="A791" s="7" t="s">
        <v>1993</v>
      </c>
      <c r="B791" s="8" t="s">
        <v>1994</v>
      </c>
      <c r="C791" s="8"/>
      <c r="D791" s="8" t="s">
        <v>1967</v>
      </c>
      <c r="E791" s="8" t="s">
        <v>1968</v>
      </c>
      <c r="F791" s="7" t="s">
        <v>26</v>
      </c>
      <c r="G791" s="9"/>
      <c r="H791" s="8" t="str">
        <f t="shared" si="15"/>
        <v>22.3.1. Are you familiar with it? dbb_famillar</v>
      </c>
      <c r="I791" s="9"/>
      <c r="J791" s="9"/>
      <c r="K791" s="8" t="s">
        <v>1995</v>
      </c>
      <c r="L791" s="8" t="s">
        <v>124</v>
      </c>
      <c r="M791" s="8" t="s">
        <v>601</v>
      </c>
      <c r="N791" s="9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</row>
    <row r="792" spans="1:31" x14ac:dyDescent="0.25">
      <c r="A792" s="7" t="s">
        <v>1996</v>
      </c>
      <c r="B792" s="8" t="s">
        <v>1997</v>
      </c>
      <c r="C792" s="8"/>
      <c r="D792" s="8" t="s">
        <v>1972</v>
      </c>
      <c r="E792" s="8" t="s">
        <v>1973</v>
      </c>
      <c r="F792" s="7" t="s">
        <v>26</v>
      </c>
      <c r="G792" s="9"/>
      <c r="H792" s="8" t="str">
        <f t="shared" si="15"/>
        <v>22.3.2. Are you Registered? dbb_registered</v>
      </c>
      <c r="I792" s="9"/>
      <c r="J792" s="9"/>
      <c r="K792" s="8" t="s">
        <v>1995</v>
      </c>
      <c r="L792" s="8" t="s">
        <v>124</v>
      </c>
      <c r="M792" s="8" t="s">
        <v>601</v>
      </c>
      <c r="N792" s="9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</row>
    <row r="793" spans="1:31" x14ac:dyDescent="0.25">
      <c r="A793" s="7" t="s">
        <v>1998</v>
      </c>
      <c r="B793" s="8" t="s">
        <v>1999</v>
      </c>
      <c r="C793" s="8"/>
      <c r="D793" s="8" t="s">
        <v>1976</v>
      </c>
      <c r="E793" s="8" t="s">
        <v>1977</v>
      </c>
      <c r="F793" s="7" t="s">
        <v>18</v>
      </c>
      <c r="G793" s="9"/>
      <c r="H793" s="8" t="str">
        <f t="shared" si="15"/>
        <v>22.3.3. Have you availed any benefit from this Scheme? So what dbb_availed_benefit</v>
      </c>
      <c r="I793" s="9"/>
      <c r="J793" s="9"/>
      <c r="K793" s="8" t="s">
        <v>1995</v>
      </c>
      <c r="L793" s="9"/>
      <c r="M793" s="9"/>
      <c r="N793" s="9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</row>
    <row r="794" spans="1:31" x14ac:dyDescent="0.25">
      <c r="A794" s="12" t="s">
        <v>2000</v>
      </c>
      <c r="B794" s="3"/>
      <c r="C794" s="21"/>
      <c r="D794" s="21" t="s">
        <v>2001</v>
      </c>
      <c r="E794" s="21" t="s">
        <v>2002</v>
      </c>
      <c r="F794" s="12" t="s">
        <v>96</v>
      </c>
      <c r="G794" s="3"/>
      <c r="H794" s="21" t="str">
        <f t="shared" si="15"/>
        <v xml:space="preserve">22.4. Honey Farmer Producer Organization (FPO) Program by (NAFED) </v>
      </c>
      <c r="I794" s="3"/>
      <c r="J794" s="3"/>
      <c r="K794" s="21" t="s">
        <v>1963</v>
      </c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x14ac:dyDescent="0.25">
      <c r="A795" s="7" t="s">
        <v>2000</v>
      </c>
      <c r="B795" s="8" t="s">
        <v>2003</v>
      </c>
      <c r="C795" s="8"/>
      <c r="D795" s="8" t="s">
        <v>2001</v>
      </c>
      <c r="E795" s="8" t="s">
        <v>2002</v>
      </c>
      <c r="F795" s="7" t="s">
        <v>26</v>
      </c>
      <c r="G795" s="9"/>
      <c r="H795" s="8" t="str">
        <f t="shared" si="15"/>
        <v>22.4. Honey Farmer Producer Organization (FPO) Program by (NAFED) honeyfarmer_producer_organization</v>
      </c>
      <c r="I795" s="9"/>
      <c r="J795" s="9"/>
      <c r="K795" s="8" t="s">
        <v>1963</v>
      </c>
      <c r="L795" s="8" t="s">
        <v>124</v>
      </c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</row>
    <row r="796" spans="1:31" x14ac:dyDescent="0.25">
      <c r="A796" s="7" t="s">
        <v>2004</v>
      </c>
      <c r="B796" s="8" t="s">
        <v>2005</v>
      </c>
      <c r="C796" s="8"/>
      <c r="D796" s="8" t="s">
        <v>1967</v>
      </c>
      <c r="E796" s="8" t="s">
        <v>1968</v>
      </c>
      <c r="F796" s="7" t="s">
        <v>26</v>
      </c>
      <c r="G796" s="9"/>
      <c r="H796" s="8" t="str">
        <f t="shared" si="15"/>
        <v>22.4.1. Are you familiar with it? fpo_famillar</v>
      </c>
      <c r="I796" s="9"/>
      <c r="J796" s="9"/>
      <c r="K796" s="8" t="s">
        <v>2006</v>
      </c>
      <c r="L796" s="8" t="s">
        <v>124</v>
      </c>
      <c r="M796" s="8" t="s">
        <v>601</v>
      </c>
      <c r="N796" s="9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</row>
    <row r="797" spans="1:31" x14ac:dyDescent="0.25">
      <c r="A797" s="7" t="s">
        <v>2007</v>
      </c>
      <c r="B797" s="8" t="s">
        <v>2008</v>
      </c>
      <c r="C797" s="8"/>
      <c r="D797" s="8" t="s">
        <v>1972</v>
      </c>
      <c r="E797" s="8" t="s">
        <v>1973</v>
      </c>
      <c r="F797" s="7" t="s">
        <v>26</v>
      </c>
      <c r="G797" s="9"/>
      <c r="H797" s="8" t="str">
        <f t="shared" si="15"/>
        <v>22.4.2. Are you Registered? fpo_registered</v>
      </c>
      <c r="I797" s="9"/>
      <c r="J797" s="9"/>
      <c r="K797" s="8" t="s">
        <v>2006</v>
      </c>
      <c r="L797" s="8" t="s">
        <v>124</v>
      </c>
      <c r="M797" s="8" t="s">
        <v>601</v>
      </c>
      <c r="N797" s="9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</row>
    <row r="798" spans="1:31" x14ac:dyDescent="0.25">
      <c r="A798" s="7" t="s">
        <v>2009</v>
      </c>
      <c r="B798" s="8" t="s">
        <v>2010</v>
      </c>
      <c r="C798" s="8"/>
      <c r="D798" s="8" t="s">
        <v>1976</v>
      </c>
      <c r="E798" s="8" t="s">
        <v>1977</v>
      </c>
      <c r="F798" s="7" t="s">
        <v>18</v>
      </c>
      <c r="G798" s="9"/>
      <c r="H798" s="8" t="str">
        <f t="shared" si="15"/>
        <v>22.4.3. Have you availed any benefit from this Scheme? So what fpo_availed_benefit</v>
      </c>
      <c r="I798" s="9"/>
      <c r="J798" s="9"/>
      <c r="K798" s="8" t="s">
        <v>2006</v>
      </c>
      <c r="L798" s="9"/>
      <c r="M798" s="9"/>
      <c r="N798" s="9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</row>
    <row r="799" spans="1:31" x14ac:dyDescent="0.25">
      <c r="A799" s="12" t="s">
        <v>2011</v>
      </c>
      <c r="B799" s="3"/>
      <c r="C799" s="21"/>
      <c r="D799" s="21" t="s">
        <v>2012</v>
      </c>
      <c r="E799" s="21" t="s">
        <v>2013</v>
      </c>
      <c r="F799" s="12" t="s">
        <v>96</v>
      </c>
      <c r="G799" s="3"/>
      <c r="H799" s="21" t="str">
        <f t="shared" si="15"/>
        <v xml:space="preserve">22.5. Krishi Vigyan Kendra (KVK) </v>
      </c>
      <c r="I799" s="3"/>
      <c r="J799" s="3"/>
      <c r="K799" s="21" t="s">
        <v>1963</v>
      </c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x14ac:dyDescent="0.25">
      <c r="A800" s="7" t="s">
        <v>2011</v>
      </c>
      <c r="B800" s="8" t="s">
        <v>2014</v>
      </c>
      <c r="C800" s="8"/>
      <c r="D800" s="8" t="s">
        <v>2012</v>
      </c>
      <c r="E800" s="8" t="s">
        <v>2013</v>
      </c>
      <c r="F800" s="7" t="s">
        <v>26</v>
      </c>
      <c r="G800" s="9"/>
      <c r="H800" s="8" t="str">
        <f t="shared" si="15"/>
        <v>22.5. Krishi Vigyan Kendra (KVK) krishi_vigyan_kendra</v>
      </c>
      <c r="I800" s="9"/>
      <c r="J800" s="9"/>
      <c r="K800" s="8" t="s">
        <v>1963</v>
      </c>
      <c r="L800" s="8" t="s">
        <v>124</v>
      </c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</row>
    <row r="801" spans="1:31" x14ac:dyDescent="0.25">
      <c r="A801" s="7" t="s">
        <v>2015</v>
      </c>
      <c r="B801" s="8" t="s">
        <v>2016</v>
      </c>
      <c r="C801" s="8"/>
      <c r="D801" s="8" t="s">
        <v>1967</v>
      </c>
      <c r="E801" s="8" t="s">
        <v>1968</v>
      </c>
      <c r="F801" s="7" t="s">
        <v>26</v>
      </c>
      <c r="G801" s="9"/>
      <c r="H801" s="8" t="str">
        <f t="shared" si="15"/>
        <v>22.5.1. Are you familiar with it? kvk_famillar</v>
      </c>
      <c r="I801" s="9"/>
      <c r="J801" s="9"/>
      <c r="K801" s="8" t="s">
        <v>2017</v>
      </c>
      <c r="L801" s="8" t="s">
        <v>124</v>
      </c>
      <c r="M801" s="8" t="s">
        <v>601</v>
      </c>
      <c r="N801" s="9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</row>
    <row r="802" spans="1:31" x14ac:dyDescent="0.25">
      <c r="A802" s="7" t="s">
        <v>2018</v>
      </c>
      <c r="B802" s="8" t="s">
        <v>2019</v>
      </c>
      <c r="C802" s="8"/>
      <c r="D802" s="8" t="s">
        <v>1972</v>
      </c>
      <c r="E802" s="8" t="s">
        <v>1973</v>
      </c>
      <c r="F802" s="7" t="s">
        <v>26</v>
      </c>
      <c r="G802" s="9"/>
      <c r="H802" s="8" t="str">
        <f t="shared" si="15"/>
        <v>22.5.2. Are you Registered? kvk_registered</v>
      </c>
      <c r="I802" s="9"/>
      <c r="J802" s="9"/>
      <c r="K802" s="8" t="s">
        <v>2017</v>
      </c>
      <c r="L802" s="8" t="s">
        <v>124</v>
      </c>
      <c r="M802" s="8" t="s">
        <v>601</v>
      </c>
      <c r="N802" s="9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</row>
    <row r="803" spans="1:31" x14ac:dyDescent="0.25">
      <c r="A803" s="7" t="s">
        <v>2020</v>
      </c>
      <c r="B803" s="8" t="s">
        <v>2021</v>
      </c>
      <c r="C803" s="8"/>
      <c r="D803" s="8" t="s">
        <v>1976</v>
      </c>
      <c r="E803" s="8" t="s">
        <v>1977</v>
      </c>
      <c r="F803" s="7" t="s">
        <v>18</v>
      </c>
      <c r="G803" s="9"/>
      <c r="H803" s="8" t="str">
        <f t="shared" si="15"/>
        <v>22.5.3. Have you availed any benefit from this Scheme? So what kvk_availed_benefit</v>
      </c>
      <c r="I803" s="9"/>
      <c r="J803" s="9"/>
      <c r="K803" s="8" t="s">
        <v>2017</v>
      </c>
      <c r="L803" s="9"/>
      <c r="M803" s="9"/>
      <c r="N803" s="9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</row>
    <row r="804" spans="1:31" x14ac:dyDescent="0.25">
      <c r="A804" s="12" t="s">
        <v>2022</v>
      </c>
      <c r="B804" s="3"/>
      <c r="C804" s="21"/>
      <c r="D804" s="21" t="s">
        <v>2023</v>
      </c>
      <c r="E804" s="21" t="s">
        <v>2024</v>
      </c>
      <c r="F804" s="12" t="s">
        <v>96</v>
      </c>
      <c r="G804" s="3"/>
      <c r="H804" s="21" t="str">
        <f t="shared" si="15"/>
        <v xml:space="preserve">22.6. Mission for Integrated Development of Horticulture (MIDH) </v>
      </c>
      <c r="I804" s="3"/>
      <c r="J804" s="3"/>
      <c r="K804" s="21" t="s">
        <v>1963</v>
      </c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x14ac:dyDescent="0.25">
      <c r="A805" s="7" t="s">
        <v>2022</v>
      </c>
      <c r="B805" s="8" t="s">
        <v>2025</v>
      </c>
      <c r="C805" s="8"/>
      <c r="D805" s="8" t="s">
        <v>2023</v>
      </c>
      <c r="E805" s="8" t="s">
        <v>2024</v>
      </c>
      <c r="F805" s="7" t="s">
        <v>26</v>
      </c>
      <c r="G805" s="9"/>
      <c r="H805" s="8" t="str">
        <f t="shared" si="15"/>
        <v xml:space="preserve">22.6. Mission for Integrated Development of Horticulture (MIDH) mission_integrated_development </v>
      </c>
      <c r="I805" s="9"/>
      <c r="J805" s="9"/>
      <c r="K805" s="8" t="s">
        <v>1963</v>
      </c>
      <c r="L805" s="8" t="s">
        <v>124</v>
      </c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</row>
    <row r="806" spans="1:31" x14ac:dyDescent="0.25">
      <c r="A806" s="7" t="s">
        <v>2026</v>
      </c>
      <c r="B806" s="8" t="s">
        <v>2027</v>
      </c>
      <c r="C806" s="8"/>
      <c r="D806" s="8" t="s">
        <v>1967</v>
      </c>
      <c r="E806" s="8" t="s">
        <v>1968</v>
      </c>
      <c r="F806" s="7" t="s">
        <v>26</v>
      </c>
      <c r="G806" s="9"/>
      <c r="H806" s="8" t="str">
        <f t="shared" si="15"/>
        <v>22.6.1. Are you familiar with it? midh_famillar</v>
      </c>
      <c r="I806" s="9"/>
      <c r="J806" s="9"/>
      <c r="K806" s="8" t="s">
        <v>2028</v>
      </c>
      <c r="L806" s="8" t="s">
        <v>124</v>
      </c>
      <c r="M806" s="8" t="s">
        <v>601</v>
      </c>
      <c r="N806" s="9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</row>
    <row r="807" spans="1:31" x14ac:dyDescent="0.25">
      <c r="A807" s="7" t="s">
        <v>2029</v>
      </c>
      <c r="B807" s="8" t="s">
        <v>2030</v>
      </c>
      <c r="C807" s="8"/>
      <c r="D807" s="8" t="s">
        <v>1972</v>
      </c>
      <c r="E807" s="8" t="s">
        <v>1973</v>
      </c>
      <c r="F807" s="7" t="s">
        <v>26</v>
      </c>
      <c r="G807" s="9"/>
      <c r="H807" s="8" t="str">
        <f t="shared" si="15"/>
        <v>22.6.2. Are you Registered? midh_registered</v>
      </c>
      <c r="I807" s="9"/>
      <c r="J807" s="9"/>
      <c r="K807" s="8" t="s">
        <v>2028</v>
      </c>
      <c r="L807" s="8" t="s">
        <v>124</v>
      </c>
      <c r="M807" s="8" t="s">
        <v>601</v>
      </c>
      <c r="N807" s="9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</row>
    <row r="808" spans="1:31" x14ac:dyDescent="0.25">
      <c r="A808" s="7" t="s">
        <v>2031</v>
      </c>
      <c r="B808" s="8" t="s">
        <v>2032</v>
      </c>
      <c r="C808" s="8"/>
      <c r="D808" s="8" t="s">
        <v>1976</v>
      </c>
      <c r="E808" s="8" t="s">
        <v>1977</v>
      </c>
      <c r="F808" s="7" t="s">
        <v>18</v>
      </c>
      <c r="G808" s="9"/>
      <c r="H808" s="8" t="str">
        <f t="shared" si="15"/>
        <v>22.6.3. Have you availed any benefit from this Scheme? So what midh_availed_benefit</v>
      </c>
      <c r="I808" s="9"/>
      <c r="J808" s="9"/>
      <c r="K808" s="8" t="s">
        <v>2028</v>
      </c>
      <c r="L808" s="9"/>
      <c r="M808" s="9"/>
      <c r="N808" s="9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</row>
    <row r="809" spans="1:31" x14ac:dyDescent="0.25">
      <c r="A809" s="12" t="s">
        <v>2033</v>
      </c>
      <c r="B809" s="3"/>
      <c r="C809" s="21"/>
      <c r="D809" s="21" t="s">
        <v>2034</v>
      </c>
      <c r="E809" s="21" t="s">
        <v>2035</v>
      </c>
      <c r="F809" s="12" t="s">
        <v>96</v>
      </c>
      <c r="G809" s="3"/>
      <c r="H809" s="21" t="str">
        <f t="shared" si="15"/>
        <v xml:space="preserve">22.7. State Industrial Development Mission </v>
      </c>
      <c r="I809" s="3"/>
      <c r="J809" s="3"/>
      <c r="K809" s="21" t="s">
        <v>1963</v>
      </c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x14ac:dyDescent="0.25">
      <c r="A810" s="7" t="s">
        <v>2033</v>
      </c>
      <c r="B810" s="8" t="s">
        <v>2036</v>
      </c>
      <c r="C810" s="8"/>
      <c r="D810" s="8" t="s">
        <v>2034</v>
      </c>
      <c r="E810" s="8" t="s">
        <v>2035</v>
      </c>
      <c r="F810" s="7" t="s">
        <v>26</v>
      </c>
      <c r="G810" s="9"/>
      <c r="H810" s="8" t="str">
        <f t="shared" si="15"/>
        <v>22.7. State Industrial Development Mission industrial_development_mission</v>
      </c>
      <c r="I810" s="9"/>
      <c r="J810" s="9"/>
      <c r="K810" s="8" t="s">
        <v>1963</v>
      </c>
      <c r="L810" s="8" t="s">
        <v>124</v>
      </c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</row>
    <row r="811" spans="1:31" x14ac:dyDescent="0.25">
      <c r="A811" s="7" t="s">
        <v>2037</v>
      </c>
      <c r="B811" s="8" t="s">
        <v>2038</v>
      </c>
      <c r="C811" s="8"/>
      <c r="D811" s="8" t="s">
        <v>1967</v>
      </c>
      <c r="E811" s="8" t="s">
        <v>1968</v>
      </c>
      <c r="F811" s="7" t="s">
        <v>26</v>
      </c>
      <c r="G811" s="9"/>
      <c r="H811" s="8" t="str">
        <f t="shared" si="15"/>
        <v>22.7.1. Are you familiar with it? sidm_famillar</v>
      </c>
      <c r="I811" s="9"/>
      <c r="J811" s="9"/>
      <c r="K811" s="8" t="s">
        <v>2039</v>
      </c>
      <c r="L811" s="8" t="s">
        <v>124</v>
      </c>
      <c r="M811" s="8" t="s">
        <v>601</v>
      </c>
      <c r="N811" s="9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</row>
    <row r="812" spans="1:31" x14ac:dyDescent="0.25">
      <c r="A812" s="7" t="s">
        <v>2040</v>
      </c>
      <c r="B812" s="8" t="s">
        <v>2041</v>
      </c>
      <c r="C812" s="8"/>
      <c r="D812" s="8" t="s">
        <v>1972</v>
      </c>
      <c r="E812" s="8" t="s">
        <v>1973</v>
      </c>
      <c r="F812" s="7" t="s">
        <v>26</v>
      </c>
      <c r="G812" s="9"/>
      <c r="H812" s="8" t="str">
        <f t="shared" si="15"/>
        <v>22.7.2. Are you Registered? sidm_registered</v>
      </c>
      <c r="I812" s="9"/>
      <c r="J812" s="9"/>
      <c r="K812" s="8" t="s">
        <v>2039</v>
      </c>
      <c r="L812" s="8" t="s">
        <v>124</v>
      </c>
      <c r="M812" s="8" t="s">
        <v>601</v>
      </c>
      <c r="N812" s="9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</row>
    <row r="813" spans="1:31" x14ac:dyDescent="0.25">
      <c r="A813" s="7" t="s">
        <v>2042</v>
      </c>
      <c r="B813" s="8" t="s">
        <v>2043</v>
      </c>
      <c r="C813" s="8"/>
      <c r="D813" s="8" t="s">
        <v>1976</v>
      </c>
      <c r="E813" s="8" t="s">
        <v>1977</v>
      </c>
      <c r="F813" s="7" t="s">
        <v>18</v>
      </c>
      <c r="G813" s="9"/>
      <c r="H813" s="8" t="str">
        <f t="shared" si="15"/>
        <v>22.7.3. Have you availed any benefit from this Scheme? So what sidm_availed_benefit</v>
      </c>
      <c r="I813" s="9"/>
      <c r="J813" s="9"/>
      <c r="K813" s="8" t="s">
        <v>2039</v>
      </c>
      <c r="L813" s="9"/>
      <c r="M813" s="9"/>
      <c r="N813" s="9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</row>
    <row r="814" spans="1:31" x14ac:dyDescent="0.25">
      <c r="A814" s="12" t="s">
        <v>2044</v>
      </c>
      <c r="B814" s="3"/>
      <c r="C814" s="21"/>
      <c r="D814" s="21" t="s">
        <v>2045</v>
      </c>
      <c r="E814" s="21" t="s">
        <v>2046</v>
      </c>
      <c r="F814" s="12" t="s">
        <v>96</v>
      </c>
      <c r="G814" s="3"/>
      <c r="H814" s="21" t="str">
        <f t="shared" si="15"/>
        <v xml:space="preserve">22.8. District Industrial Development Mission </v>
      </c>
      <c r="I814" s="3"/>
      <c r="J814" s="3"/>
      <c r="K814" s="21" t="s">
        <v>1963</v>
      </c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x14ac:dyDescent="0.25">
      <c r="A815" s="7" t="s">
        <v>2044</v>
      </c>
      <c r="B815" s="8" t="s">
        <v>2047</v>
      </c>
      <c r="C815" s="8"/>
      <c r="D815" s="8" t="s">
        <v>2045</v>
      </c>
      <c r="E815" s="8" t="s">
        <v>2046</v>
      </c>
      <c r="F815" s="7" t="s">
        <v>26</v>
      </c>
      <c r="G815" s="9"/>
      <c r="H815" s="8" t="str">
        <f t="shared" si="15"/>
        <v>22.8. District Industrial Development Mission district_development_mission</v>
      </c>
      <c r="I815" s="9"/>
      <c r="J815" s="9"/>
      <c r="K815" s="8" t="s">
        <v>1963</v>
      </c>
      <c r="L815" s="8" t="s">
        <v>124</v>
      </c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</row>
    <row r="816" spans="1:31" x14ac:dyDescent="0.25">
      <c r="A816" s="7" t="s">
        <v>2048</v>
      </c>
      <c r="B816" s="8" t="s">
        <v>2049</v>
      </c>
      <c r="C816" s="8"/>
      <c r="D816" s="8" t="s">
        <v>1967</v>
      </c>
      <c r="E816" s="8" t="s">
        <v>1968</v>
      </c>
      <c r="F816" s="7" t="s">
        <v>26</v>
      </c>
      <c r="G816" s="9"/>
      <c r="H816" s="8" t="str">
        <f t="shared" si="15"/>
        <v>22.8.1. Are you familiar with it? didm_famillar</v>
      </c>
      <c r="I816" s="9"/>
      <c r="J816" s="9"/>
      <c r="K816" s="8" t="s">
        <v>2050</v>
      </c>
      <c r="L816" s="8" t="s">
        <v>124</v>
      </c>
      <c r="M816" s="8" t="s">
        <v>601</v>
      </c>
      <c r="N816" s="9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</row>
    <row r="817" spans="1:31" x14ac:dyDescent="0.25">
      <c r="A817" s="7" t="s">
        <v>2051</v>
      </c>
      <c r="B817" s="8" t="s">
        <v>2052</v>
      </c>
      <c r="C817" s="8"/>
      <c r="D817" s="8" t="s">
        <v>1972</v>
      </c>
      <c r="E817" s="8" t="s">
        <v>1973</v>
      </c>
      <c r="F817" s="7" t="s">
        <v>26</v>
      </c>
      <c r="G817" s="9"/>
      <c r="H817" s="8" t="str">
        <f t="shared" si="15"/>
        <v>22.8.2. Are you Registered? didm_registered</v>
      </c>
      <c r="I817" s="9"/>
      <c r="J817" s="9"/>
      <c r="K817" s="8" t="s">
        <v>2050</v>
      </c>
      <c r="L817" s="8" t="s">
        <v>124</v>
      </c>
      <c r="M817" s="8" t="s">
        <v>601</v>
      </c>
      <c r="N817" s="9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</row>
    <row r="818" spans="1:31" x14ac:dyDescent="0.25">
      <c r="A818" s="7" t="s">
        <v>2053</v>
      </c>
      <c r="B818" s="8" t="s">
        <v>2054</v>
      </c>
      <c r="C818" s="8"/>
      <c r="D818" s="8" t="s">
        <v>1976</v>
      </c>
      <c r="E818" s="8" t="s">
        <v>1977</v>
      </c>
      <c r="F818" s="7" t="s">
        <v>18</v>
      </c>
      <c r="G818" s="9"/>
      <c r="H818" s="8" t="str">
        <f t="shared" si="15"/>
        <v>22.8.3. Have you availed any benefit from this Scheme? So what didm_availed_benefit</v>
      </c>
      <c r="I818" s="9"/>
      <c r="J818" s="9"/>
      <c r="K818" s="8" t="s">
        <v>2050</v>
      </c>
      <c r="L818" s="9"/>
      <c r="M818" s="9"/>
      <c r="N818" s="9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</row>
    <row r="819" spans="1:31" x14ac:dyDescent="0.25">
      <c r="A819" s="12" t="s">
        <v>2055</v>
      </c>
      <c r="B819" s="3"/>
      <c r="C819" s="21"/>
      <c r="D819" s="21" t="s">
        <v>2056</v>
      </c>
      <c r="E819" s="21" t="s">
        <v>2057</v>
      </c>
      <c r="F819" s="12" t="s">
        <v>96</v>
      </c>
      <c r="G819" s="3"/>
      <c r="H819" s="21" t="str">
        <f t="shared" si="15"/>
        <v xml:space="preserve">22.9. Sphoorti (MSME) </v>
      </c>
      <c r="I819" s="3"/>
      <c r="J819" s="3"/>
      <c r="K819" s="21" t="s">
        <v>1963</v>
      </c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x14ac:dyDescent="0.25">
      <c r="A820" s="7" t="s">
        <v>2055</v>
      </c>
      <c r="B820" s="8" t="s">
        <v>2058</v>
      </c>
      <c r="C820" s="8"/>
      <c r="D820" s="8" t="s">
        <v>2056</v>
      </c>
      <c r="E820" s="8" t="s">
        <v>2057</v>
      </c>
      <c r="F820" s="7" t="s">
        <v>26</v>
      </c>
      <c r="G820" s="9"/>
      <c r="H820" s="8" t="str">
        <f t="shared" si="15"/>
        <v>22.9. Sphoorti (MSME) sphoorti_msme</v>
      </c>
      <c r="I820" s="9"/>
      <c r="J820" s="9"/>
      <c r="K820" s="8" t="s">
        <v>1963</v>
      </c>
      <c r="L820" s="8" t="s">
        <v>124</v>
      </c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</row>
    <row r="821" spans="1:31" x14ac:dyDescent="0.25">
      <c r="A821" s="7" t="s">
        <v>2059</v>
      </c>
      <c r="B821" s="8" t="s">
        <v>2060</v>
      </c>
      <c r="C821" s="8"/>
      <c r="D821" s="8" t="s">
        <v>1967</v>
      </c>
      <c r="E821" s="8" t="s">
        <v>1968</v>
      </c>
      <c r="F821" s="7" t="s">
        <v>26</v>
      </c>
      <c r="G821" s="9"/>
      <c r="H821" s="8" t="str">
        <f t="shared" si="15"/>
        <v>22.9.1. Are you familiar with it? msme_famillar</v>
      </c>
      <c r="I821" s="9"/>
      <c r="J821" s="9"/>
      <c r="K821" s="8" t="s">
        <v>2061</v>
      </c>
      <c r="L821" s="8" t="s">
        <v>124</v>
      </c>
      <c r="M821" s="8" t="s">
        <v>601</v>
      </c>
      <c r="N821" s="9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</row>
    <row r="822" spans="1:31" x14ac:dyDescent="0.25">
      <c r="A822" s="7" t="s">
        <v>2062</v>
      </c>
      <c r="B822" s="8" t="s">
        <v>2063</v>
      </c>
      <c r="C822" s="8"/>
      <c r="D822" s="8" t="s">
        <v>1972</v>
      </c>
      <c r="E822" s="8" t="s">
        <v>1973</v>
      </c>
      <c r="F822" s="7" t="s">
        <v>26</v>
      </c>
      <c r="G822" s="9"/>
      <c r="H822" s="8" t="str">
        <f t="shared" si="15"/>
        <v>22.9.2. Are you Registered? msme_registered</v>
      </c>
      <c r="I822" s="9"/>
      <c r="J822" s="9"/>
      <c r="K822" s="8" t="s">
        <v>2061</v>
      </c>
      <c r="L822" s="8" t="s">
        <v>124</v>
      </c>
      <c r="M822" s="8" t="s">
        <v>601</v>
      </c>
      <c r="N822" s="9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</row>
    <row r="823" spans="1:31" x14ac:dyDescent="0.25">
      <c r="A823" s="7" t="s">
        <v>2064</v>
      </c>
      <c r="B823" s="8" t="s">
        <v>2065</v>
      </c>
      <c r="C823" s="8"/>
      <c r="D823" s="8" t="s">
        <v>1976</v>
      </c>
      <c r="E823" s="8" t="s">
        <v>1977</v>
      </c>
      <c r="F823" s="7" t="s">
        <v>18</v>
      </c>
      <c r="G823" s="9"/>
      <c r="H823" s="8" t="str">
        <f t="shared" si="15"/>
        <v>22.9.3. Have you availed any benefit from this Scheme? So what msme_availed_benefit</v>
      </c>
      <c r="I823" s="9"/>
      <c r="J823" s="9"/>
      <c r="K823" s="8" t="s">
        <v>2061</v>
      </c>
      <c r="L823" s="9"/>
      <c r="M823" s="9"/>
      <c r="N823" s="9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</row>
    <row r="824" spans="1:31" x14ac:dyDescent="0.25">
      <c r="A824" s="12" t="s">
        <v>2066</v>
      </c>
      <c r="B824" s="3"/>
      <c r="C824" s="21"/>
      <c r="D824" s="21" t="s">
        <v>2067</v>
      </c>
      <c r="E824" s="21" t="s">
        <v>2068</v>
      </c>
      <c r="F824" s="12" t="s">
        <v>96</v>
      </c>
      <c r="G824" s="3"/>
      <c r="H824" s="21" t="str">
        <f t="shared" si="15"/>
        <v xml:space="preserve">22.10. Other Scheme </v>
      </c>
      <c r="I824" s="3"/>
      <c r="J824" s="3"/>
      <c r="K824" s="21" t="s">
        <v>1963</v>
      </c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x14ac:dyDescent="0.25">
      <c r="A825" s="7" t="s">
        <v>2066</v>
      </c>
      <c r="B825" s="8" t="s">
        <v>2069</v>
      </c>
      <c r="C825" s="8"/>
      <c r="D825" s="8" t="s">
        <v>2067</v>
      </c>
      <c r="E825" s="8" t="s">
        <v>2068</v>
      </c>
      <c r="F825" s="7" t="s">
        <v>26</v>
      </c>
      <c r="G825" s="9"/>
      <c r="H825" s="8" t="str">
        <f t="shared" si="15"/>
        <v>22.10. Other Scheme other_scheme</v>
      </c>
      <c r="I825" s="9"/>
      <c r="J825" s="9"/>
      <c r="K825" s="8" t="s">
        <v>1963</v>
      </c>
      <c r="L825" s="8" t="s">
        <v>124</v>
      </c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</row>
    <row r="826" spans="1:31" x14ac:dyDescent="0.25">
      <c r="A826" s="7" t="s">
        <v>2070</v>
      </c>
      <c r="B826" s="22" t="s">
        <v>2071</v>
      </c>
      <c r="C826" s="8"/>
      <c r="D826" s="8" t="s">
        <v>2072</v>
      </c>
      <c r="E826" s="8" t="s">
        <v>2073</v>
      </c>
      <c r="F826" s="7" t="s">
        <v>18</v>
      </c>
      <c r="G826" s="9"/>
      <c r="H826" s="8" t="str">
        <f t="shared" si="15"/>
        <v>22.10.1. Name of Other Scheme other_scheme_name</v>
      </c>
      <c r="I826" s="9"/>
      <c r="J826" s="9"/>
      <c r="K826" s="22" t="s">
        <v>2074</v>
      </c>
      <c r="L826" s="9"/>
      <c r="M826" s="9"/>
      <c r="N826" s="9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</row>
    <row r="827" spans="1:31" x14ac:dyDescent="0.25">
      <c r="A827" s="7" t="s">
        <v>2075</v>
      </c>
      <c r="B827" s="8" t="s">
        <v>2076</v>
      </c>
      <c r="C827" s="8"/>
      <c r="D827" s="8" t="s">
        <v>1967</v>
      </c>
      <c r="E827" s="8" t="s">
        <v>1968</v>
      </c>
      <c r="F827" s="7" t="s">
        <v>26</v>
      </c>
      <c r="G827" s="9"/>
      <c r="H827" s="8" t="str">
        <f t="shared" si="15"/>
        <v>22.10.2. Are you familiar with it? other_scheme_famillar</v>
      </c>
      <c r="I827" s="9"/>
      <c r="J827" s="9"/>
      <c r="K827" s="22" t="s">
        <v>2074</v>
      </c>
      <c r="L827" s="8" t="s">
        <v>124</v>
      </c>
      <c r="M827" s="8" t="s">
        <v>601</v>
      </c>
      <c r="N827" s="9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</row>
    <row r="828" spans="1:31" x14ac:dyDescent="0.25">
      <c r="A828" s="7" t="s">
        <v>2077</v>
      </c>
      <c r="B828" s="8" t="s">
        <v>2078</v>
      </c>
      <c r="C828" s="8"/>
      <c r="D828" s="8" t="s">
        <v>1972</v>
      </c>
      <c r="E828" s="8" t="s">
        <v>1973</v>
      </c>
      <c r="F828" s="7" t="s">
        <v>26</v>
      </c>
      <c r="G828" s="9"/>
      <c r="H828" s="8" t="str">
        <f t="shared" si="15"/>
        <v>22.10.3. Are you Registered? other_scheme_registered</v>
      </c>
      <c r="I828" s="9"/>
      <c r="J828" s="9"/>
      <c r="K828" s="22" t="s">
        <v>2074</v>
      </c>
      <c r="L828" s="8" t="s">
        <v>124</v>
      </c>
      <c r="M828" s="8" t="s">
        <v>601</v>
      </c>
      <c r="N828" s="9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</row>
    <row r="829" spans="1:31" x14ac:dyDescent="0.25">
      <c r="A829" s="7" t="s">
        <v>2079</v>
      </c>
      <c r="B829" s="8" t="s">
        <v>2080</v>
      </c>
      <c r="C829" s="8"/>
      <c r="D829" s="8" t="s">
        <v>1976</v>
      </c>
      <c r="E829" s="8" t="s">
        <v>1977</v>
      </c>
      <c r="F829" s="7" t="s">
        <v>18</v>
      </c>
      <c r="G829" s="9"/>
      <c r="H829" s="8" t="str">
        <f t="shared" si="15"/>
        <v>22.10.4. Have you availed any benefit from this Scheme? So what other_scheme_availed_benefit</v>
      </c>
      <c r="I829" s="9"/>
      <c r="J829" s="9"/>
      <c r="K829" s="22" t="s">
        <v>2074</v>
      </c>
      <c r="L829" s="9"/>
      <c r="M829" s="9"/>
      <c r="N829" s="9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</row>
    <row r="830" spans="1:31" x14ac:dyDescent="0.25">
      <c r="A830" s="4">
        <v>23</v>
      </c>
      <c r="B830" s="5"/>
      <c r="C830" s="24"/>
      <c r="D830" s="24" t="s">
        <v>2081</v>
      </c>
      <c r="E830" s="24" t="s">
        <v>2082</v>
      </c>
      <c r="F830" s="5"/>
      <c r="G830" s="5"/>
      <c r="H830" s="24" t="str">
        <f t="shared" si="15"/>
        <v xml:space="preserve">23 Any help from District Horticulture Dept. for Beekeeping </v>
      </c>
      <c r="I830" s="5"/>
      <c r="J830" s="5"/>
      <c r="K830" s="5"/>
      <c r="L830" s="5"/>
      <c r="M830" s="5"/>
      <c r="N830" s="5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</row>
    <row r="831" spans="1:31" x14ac:dyDescent="0.25">
      <c r="A831" s="7">
        <v>23</v>
      </c>
      <c r="B831" s="8" t="s">
        <v>2083</v>
      </c>
      <c r="C831" s="8"/>
      <c r="D831" s="8" t="s">
        <v>2084</v>
      </c>
      <c r="E831" s="8" t="s">
        <v>2085</v>
      </c>
      <c r="F831" s="7" t="s">
        <v>26</v>
      </c>
      <c r="G831" s="9"/>
      <c r="H831" s="24" t="str">
        <f t="shared" si="15"/>
        <v>23 Do you get any kind of help regarding Beekeeping from the Horticulture Department of the District? beekeeping_help_horticulture_department</v>
      </c>
      <c r="I831" s="9"/>
      <c r="J831" s="9"/>
      <c r="K831" s="9"/>
      <c r="L831" s="8" t="s">
        <v>124</v>
      </c>
      <c r="M831" s="8" t="s">
        <v>601</v>
      </c>
      <c r="N831" s="9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</row>
    <row r="832" spans="1:31" x14ac:dyDescent="0.25">
      <c r="A832" s="7" t="s">
        <v>2086</v>
      </c>
      <c r="B832" s="9"/>
      <c r="C832" s="24"/>
      <c r="D832" s="24" t="s">
        <v>2087</v>
      </c>
      <c r="E832" s="24" t="s">
        <v>2088</v>
      </c>
      <c r="F832" s="7" t="s">
        <v>96</v>
      </c>
      <c r="G832" s="9"/>
      <c r="H832" s="24" t="str">
        <f t="shared" si="15"/>
        <v xml:space="preserve">23.1. Beekeeping Boxes </v>
      </c>
      <c r="I832" s="9"/>
      <c r="J832" s="9"/>
      <c r="K832" s="9"/>
      <c r="L832" s="9"/>
      <c r="M832" s="9"/>
      <c r="N832" s="9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</row>
    <row r="833" spans="1:31" x14ac:dyDescent="0.25">
      <c r="A833" s="7" t="s">
        <v>2086</v>
      </c>
      <c r="B833" s="8" t="s">
        <v>2089</v>
      </c>
      <c r="C833" s="8"/>
      <c r="D833" s="8" t="s">
        <v>2087</v>
      </c>
      <c r="E833" s="8" t="s">
        <v>2088</v>
      </c>
      <c r="F833" s="7" t="s">
        <v>26</v>
      </c>
      <c r="G833" s="9"/>
      <c r="H833" s="24" t="str">
        <f t="shared" si="15"/>
        <v>23.1. Beekeeping Boxes beekeeping_boxes</v>
      </c>
      <c r="I833" s="9"/>
      <c r="J833" s="9"/>
      <c r="K833" s="9"/>
      <c r="L833" s="8" t="s">
        <v>124</v>
      </c>
      <c r="M833" s="9"/>
      <c r="N833" s="9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</row>
    <row r="834" spans="1:31" x14ac:dyDescent="0.25">
      <c r="A834" s="7" t="s">
        <v>2090</v>
      </c>
      <c r="B834" s="8" t="s">
        <v>2091</v>
      </c>
      <c r="C834" s="8"/>
      <c r="D834" s="8" t="s">
        <v>207</v>
      </c>
      <c r="E834" s="8" t="s">
        <v>2092</v>
      </c>
      <c r="F834" s="7" t="s">
        <v>18</v>
      </c>
      <c r="G834" s="7" t="s">
        <v>128</v>
      </c>
      <c r="H834" s="24" t="str">
        <f t="shared" si="15"/>
        <v>23.1.1. Year bb_help_year</v>
      </c>
      <c r="I834" s="29">
        <v>0</v>
      </c>
      <c r="J834" s="29">
        <v>4</v>
      </c>
      <c r="K834" s="8" t="s">
        <v>2093</v>
      </c>
      <c r="L834" s="9"/>
      <c r="M834" s="9"/>
      <c r="N834" s="9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</row>
    <row r="835" spans="1:31" x14ac:dyDescent="0.25">
      <c r="A835" s="7" t="s">
        <v>2094</v>
      </c>
      <c r="B835" s="8" t="s">
        <v>2095</v>
      </c>
      <c r="C835" s="8"/>
      <c r="D835" s="8" t="s">
        <v>2096</v>
      </c>
      <c r="E835" s="8" t="s">
        <v>2097</v>
      </c>
      <c r="F835" s="7" t="s">
        <v>26</v>
      </c>
      <c r="G835" s="9"/>
      <c r="H835" s="24" t="str">
        <f t="shared" si="15"/>
        <v>23.1.2. Name of the Scheme bb_help_scheme_name</v>
      </c>
      <c r="I835" s="9"/>
      <c r="J835" s="9"/>
      <c r="K835" s="8" t="s">
        <v>2093</v>
      </c>
      <c r="L835" s="8" t="s">
        <v>2098</v>
      </c>
      <c r="M835" s="8" t="s">
        <v>2099</v>
      </c>
      <c r="N835" s="9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</row>
    <row r="836" spans="1:31" x14ac:dyDescent="0.25">
      <c r="A836" s="7" t="s">
        <v>2100</v>
      </c>
      <c r="B836" s="8" t="s">
        <v>2101</v>
      </c>
      <c r="C836" s="8"/>
      <c r="D836" s="8" t="s">
        <v>2102</v>
      </c>
      <c r="E836" s="8" t="s">
        <v>2103</v>
      </c>
      <c r="F836" s="7" t="s">
        <v>18</v>
      </c>
      <c r="G836" s="9"/>
      <c r="H836" s="24" t="str">
        <f t="shared" si="15"/>
        <v>23.1.2.1. Name of the Scheme - Other bb_help_other_scheme_name</v>
      </c>
      <c r="I836" s="9"/>
      <c r="J836" s="9"/>
      <c r="K836" s="22" t="s">
        <v>2104</v>
      </c>
      <c r="L836" s="9"/>
      <c r="M836" s="9"/>
      <c r="N836" s="9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</row>
    <row r="837" spans="1:31" x14ac:dyDescent="0.25">
      <c r="A837" s="7" t="s">
        <v>2105</v>
      </c>
      <c r="B837" s="8" t="s">
        <v>2106</v>
      </c>
      <c r="C837" s="8"/>
      <c r="D837" s="8" t="s">
        <v>2107</v>
      </c>
      <c r="E837" s="8" t="s">
        <v>2108</v>
      </c>
      <c r="F837" s="7" t="s">
        <v>18</v>
      </c>
      <c r="G837" s="7" t="s">
        <v>128</v>
      </c>
      <c r="H837" s="24" t="str">
        <f t="shared" si="15"/>
        <v>23.1.3. Through DBT Cash (In Rs.) bb_help_dbt_cash</v>
      </c>
      <c r="I837" s="8">
        <v>0</v>
      </c>
      <c r="J837" s="8">
        <v>6</v>
      </c>
      <c r="K837" s="8" t="s">
        <v>2093</v>
      </c>
      <c r="L837" s="9"/>
      <c r="M837" s="9"/>
      <c r="N837" s="9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</row>
    <row r="838" spans="1:31" x14ac:dyDescent="0.25">
      <c r="A838" s="7" t="s">
        <v>2109</v>
      </c>
      <c r="B838" s="9"/>
      <c r="C838" s="24"/>
      <c r="D838" s="24" t="s">
        <v>2110</v>
      </c>
      <c r="E838" s="24" t="s">
        <v>2111</v>
      </c>
      <c r="F838" s="7" t="s">
        <v>96</v>
      </c>
      <c r="G838" s="9"/>
      <c r="H838" s="24" t="str">
        <f t="shared" si="15"/>
        <v xml:space="preserve">23.2. Honey Processing (Branding / Grading / Packaging) </v>
      </c>
      <c r="I838" s="9"/>
      <c r="J838" s="9"/>
      <c r="K838" s="9"/>
      <c r="L838" s="9"/>
      <c r="M838" s="9"/>
      <c r="N838" s="9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</row>
    <row r="839" spans="1:31" x14ac:dyDescent="0.25">
      <c r="A839" s="7" t="s">
        <v>2109</v>
      </c>
      <c r="B839" s="8" t="s">
        <v>2112</v>
      </c>
      <c r="C839" s="8"/>
      <c r="D839" s="8" t="s">
        <v>2110</v>
      </c>
      <c r="E839" s="8" t="s">
        <v>2111</v>
      </c>
      <c r="F839" s="7" t="s">
        <v>26</v>
      </c>
      <c r="G839" s="9"/>
      <c r="H839" s="24" t="str">
        <f t="shared" si="15"/>
        <v>23.2. Honey Processing (Branding / Grading / Packaging) honeyprocessing_branding</v>
      </c>
      <c r="I839" s="9"/>
      <c r="J839" s="9"/>
      <c r="K839" s="9"/>
      <c r="L839" s="8" t="s">
        <v>124</v>
      </c>
      <c r="M839" s="9"/>
      <c r="N839" s="9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</row>
    <row r="840" spans="1:31" x14ac:dyDescent="0.25">
      <c r="A840" s="7" t="s">
        <v>2113</v>
      </c>
      <c r="B840" s="8" t="s">
        <v>2114</v>
      </c>
      <c r="C840" s="8"/>
      <c r="D840" s="8" t="s">
        <v>207</v>
      </c>
      <c r="E840" s="8" t="s">
        <v>2092</v>
      </c>
      <c r="F840" s="7" t="s">
        <v>18</v>
      </c>
      <c r="G840" s="7" t="s">
        <v>128</v>
      </c>
      <c r="H840" s="24" t="str">
        <f t="shared" si="15"/>
        <v>23.2.1.. Year hpbgp_help_year</v>
      </c>
      <c r="I840" s="8">
        <v>0</v>
      </c>
      <c r="J840" s="8">
        <v>4</v>
      </c>
      <c r="K840" s="8" t="s">
        <v>2115</v>
      </c>
      <c r="L840" s="9"/>
      <c r="M840" s="9"/>
      <c r="N840" s="9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</row>
    <row r="841" spans="1:31" x14ac:dyDescent="0.25">
      <c r="A841" s="7" t="s">
        <v>2116</v>
      </c>
      <c r="B841" s="8" t="s">
        <v>2117</v>
      </c>
      <c r="C841" s="8"/>
      <c r="D841" s="8" t="s">
        <v>2096</v>
      </c>
      <c r="E841" s="8" t="s">
        <v>2097</v>
      </c>
      <c r="F841" s="7" t="s">
        <v>26</v>
      </c>
      <c r="G841" s="9"/>
      <c r="H841" s="24" t="str">
        <f t="shared" si="15"/>
        <v>23.2.2. Name of the Scheme hpbgp_help_scheme_name</v>
      </c>
      <c r="I841" s="9"/>
      <c r="J841" s="9"/>
      <c r="K841" s="8" t="s">
        <v>2115</v>
      </c>
      <c r="L841" s="8" t="s">
        <v>2098</v>
      </c>
      <c r="M841" s="8" t="s">
        <v>2099</v>
      </c>
      <c r="N841" s="9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</row>
    <row r="842" spans="1:31" x14ac:dyDescent="0.25">
      <c r="A842" s="7" t="s">
        <v>2118</v>
      </c>
      <c r="B842" s="8" t="s">
        <v>2119</v>
      </c>
      <c r="C842" s="8"/>
      <c r="D842" s="8" t="s">
        <v>2102</v>
      </c>
      <c r="E842" s="8" t="s">
        <v>2103</v>
      </c>
      <c r="F842" s="7" t="s">
        <v>18</v>
      </c>
      <c r="G842" s="9"/>
      <c r="H842" s="24" t="str">
        <f t="shared" si="15"/>
        <v>23.2.2.1 Name of the Scheme - Other hpbgp_help_other_scheme_name</v>
      </c>
      <c r="I842" s="9"/>
      <c r="J842" s="9"/>
      <c r="K842" s="22" t="s">
        <v>2120</v>
      </c>
      <c r="L842" s="9"/>
      <c r="M842" s="9"/>
      <c r="N842" s="9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</row>
    <row r="843" spans="1:31" x14ac:dyDescent="0.25">
      <c r="A843" s="7" t="s">
        <v>2121</v>
      </c>
      <c r="B843" s="8" t="s">
        <v>2122</v>
      </c>
      <c r="C843" s="8"/>
      <c r="D843" s="8" t="s">
        <v>2107</v>
      </c>
      <c r="E843" s="8" t="s">
        <v>2108</v>
      </c>
      <c r="F843" s="7" t="s">
        <v>18</v>
      </c>
      <c r="G843" s="7" t="s">
        <v>128</v>
      </c>
      <c r="H843" s="24" t="str">
        <f t="shared" si="15"/>
        <v>23.2.3. Through DBT Cash (In Rs.) hpbgp_help_dbt_cash</v>
      </c>
      <c r="I843" s="8">
        <v>0</v>
      </c>
      <c r="J843" s="8">
        <v>6</v>
      </c>
      <c r="K843" s="8" t="s">
        <v>2115</v>
      </c>
      <c r="L843" s="9"/>
      <c r="M843" s="9"/>
      <c r="N843" s="9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</row>
    <row r="844" spans="1:31" x14ac:dyDescent="0.25">
      <c r="A844" s="7" t="s">
        <v>2123</v>
      </c>
      <c r="B844" s="9"/>
      <c r="C844" s="24"/>
      <c r="D844" s="24" t="s">
        <v>2124</v>
      </c>
      <c r="E844" s="24" t="s">
        <v>2125</v>
      </c>
      <c r="F844" s="7" t="s">
        <v>96</v>
      </c>
      <c r="G844" s="9"/>
      <c r="H844" s="24" t="str">
        <f t="shared" si="15"/>
        <v xml:space="preserve">23.3. Operation of Honey Processing Unit </v>
      </c>
      <c r="I844" s="9"/>
      <c r="J844" s="9"/>
      <c r="K844" s="9"/>
      <c r="L844" s="9"/>
      <c r="M844" s="9"/>
      <c r="N844" s="9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</row>
    <row r="845" spans="1:31" x14ac:dyDescent="0.25">
      <c r="A845" s="7" t="s">
        <v>2123</v>
      </c>
      <c r="B845" s="8" t="s">
        <v>2126</v>
      </c>
      <c r="C845" s="8"/>
      <c r="D845" s="8" t="s">
        <v>2124</v>
      </c>
      <c r="E845" s="8" t="s">
        <v>2125</v>
      </c>
      <c r="F845" s="7" t="s">
        <v>26</v>
      </c>
      <c r="G845" s="9"/>
      <c r="H845" s="24" t="str">
        <f t="shared" si="15"/>
        <v>23.3. Operation of Honey Processing Unit operation_honey_processing</v>
      </c>
      <c r="I845" s="9"/>
      <c r="J845" s="9"/>
      <c r="K845" s="9"/>
      <c r="L845" s="8" t="s">
        <v>124</v>
      </c>
      <c r="M845" s="9"/>
      <c r="N845" s="9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</row>
    <row r="846" spans="1:31" x14ac:dyDescent="0.25">
      <c r="A846" s="7" t="s">
        <v>2127</v>
      </c>
      <c r="B846" s="8" t="s">
        <v>2128</v>
      </c>
      <c r="C846" s="8"/>
      <c r="D846" s="8" t="s">
        <v>207</v>
      </c>
      <c r="E846" s="8" t="s">
        <v>2092</v>
      </c>
      <c r="F846" s="7" t="s">
        <v>18</v>
      </c>
      <c r="G846" s="7" t="s">
        <v>128</v>
      </c>
      <c r="H846" s="24" t="str">
        <f t="shared" si="15"/>
        <v>23.3.1. Year ohpu_help_year</v>
      </c>
      <c r="I846" s="8">
        <v>0</v>
      </c>
      <c r="J846" s="8">
        <v>4</v>
      </c>
      <c r="K846" s="8" t="s">
        <v>2129</v>
      </c>
      <c r="L846" s="9"/>
      <c r="M846" s="9"/>
      <c r="N846" s="9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</row>
    <row r="847" spans="1:31" x14ac:dyDescent="0.25">
      <c r="A847" s="7" t="s">
        <v>2130</v>
      </c>
      <c r="B847" s="8" t="s">
        <v>2131</v>
      </c>
      <c r="C847" s="8"/>
      <c r="D847" s="8" t="s">
        <v>2096</v>
      </c>
      <c r="E847" s="8" t="s">
        <v>2097</v>
      </c>
      <c r="F847" s="7" t="s">
        <v>26</v>
      </c>
      <c r="G847" s="9"/>
      <c r="H847" s="24" t="str">
        <f t="shared" si="15"/>
        <v>23.3.2. Name of the Scheme ohpu_help_scheme_name</v>
      </c>
      <c r="I847" s="9"/>
      <c r="J847" s="9"/>
      <c r="K847" s="8" t="s">
        <v>2129</v>
      </c>
      <c r="L847" s="8" t="s">
        <v>2098</v>
      </c>
      <c r="M847" s="8" t="s">
        <v>2099</v>
      </c>
      <c r="N847" s="9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</row>
    <row r="848" spans="1:31" x14ac:dyDescent="0.25">
      <c r="A848" s="7" t="s">
        <v>2132</v>
      </c>
      <c r="B848" s="8" t="s">
        <v>2133</v>
      </c>
      <c r="C848" s="8"/>
      <c r="D848" s="8" t="s">
        <v>2102</v>
      </c>
      <c r="E848" s="8" t="s">
        <v>2103</v>
      </c>
      <c r="F848" s="7" t="s">
        <v>18</v>
      </c>
      <c r="G848" s="9"/>
      <c r="H848" s="24" t="str">
        <f t="shared" si="15"/>
        <v>23.3.2.1. Name of the Scheme - Other ohpu_help_other_scheme_name</v>
      </c>
      <c r="I848" s="9"/>
      <c r="J848" s="9"/>
      <c r="K848" s="22" t="s">
        <v>2134</v>
      </c>
      <c r="L848" s="9"/>
      <c r="M848" s="9"/>
      <c r="N848" s="9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</row>
    <row r="849" spans="1:31" x14ac:dyDescent="0.25">
      <c r="A849" s="7" t="s">
        <v>2135</v>
      </c>
      <c r="B849" s="8" t="s">
        <v>2136</v>
      </c>
      <c r="C849" s="8"/>
      <c r="D849" s="8" t="s">
        <v>2107</v>
      </c>
      <c r="E849" s="8" t="s">
        <v>2108</v>
      </c>
      <c r="F849" s="7" t="s">
        <v>18</v>
      </c>
      <c r="G849" s="7" t="s">
        <v>128</v>
      </c>
      <c r="H849" s="24" t="str">
        <f t="shared" si="15"/>
        <v>23.3.3. Through DBT Cash (In Rs.) ohpu_help_dbt_cash</v>
      </c>
      <c r="I849" s="8">
        <v>0</v>
      </c>
      <c r="J849" s="8">
        <v>6</v>
      </c>
      <c r="K849" s="8" t="s">
        <v>2129</v>
      </c>
      <c r="L849" s="9"/>
      <c r="M849" s="9"/>
      <c r="N849" s="9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</row>
    <row r="850" spans="1:31" x14ac:dyDescent="0.25">
      <c r="A850" s="7" t="s">
        <v>2137</v>
      </c>
      <c r="B850" s="9"/>
      <c r="C850" s="24"/>
      <c r="D850" s="24" t="s">
        <v>2138</v>
      </c>
      <c r="E850" s="24" t="s">
        <v>2139</v>
      </c>
      <c r="F850" s="7" t="s">
        <v>96</v>
      </c>
      <c r="G850" s="9"/>
      <c r="H850" s="24" t="str">
        <f t="shared" si="15"/>
        <v xml:space="preserve">23.4. Other Help </v>
      </c>
      <c r="I850" s="9"/>
      <c r="J850" s="9"/>
      <c r="K850" s="9"/>
      <c r="L850" s="9"/>
      <c r="M850" s="9"/>
      <c r="N850" s="9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</row>
    <row r="851" spans="1:31" x14ac:dyDescent="0.25">
      <c r="A851" s="7" t="s">
        <v>2137</v>
      </c>
      <c r="B851" s="22" t="s">
        <v>2140</v>
      </c>
      <c r="C851" s="22"/>
      <c r="D851" s="22" t="s">
        <v>2138</v>
      </c>
      <c r="E851" s="22" t="s">
        <v>2139</v>
      </c>
      <c r="F851" s="7" t="s">
        <v>26</v>
      </c>
      <c r="G851" s="9"/>
      <c r="H851" s="24" t="str">
        <f t="shared" si="15"/>
        <v>23.4. Other Help other_help</v>
      </c>
      <c r="I851" s="9"/>
      <c r="J851" s="9"/>
      <c r="K851" s="9"/>
      <c r="L851" s="8" t="s">
        <v>124</v>
      </c>
      <c r="M851" s="9"/>
      <c r="N851" s="9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</row>
    <row r="852" spans="1:31" x14ac:dyDescent="0.25">
      <c r="A852" s="7" t="s">
        <v>2141</v>
      </c>
      <c r="B852" s="8" t="s">
        <v>2142</v>
      </c>
      <c r="C852" s="8"/>
      <c r="D852" s="8" t="s">
        <v>207</v>
      </c>
      <c r="E852" s="8" t="s">
        <v>2092</v>
      </c>
      <c r="F852" s="7" t="s">
        <v>18</v>
      </c>
      <c r="G852" s="7" t="s">
        <v>128</v>
      </c>
      <c r="H852" s="24" t="str">
        <f t="shared" si="15"/>
        <v>23.4.1. Year oh_help_year</v>
      </c>
      <c r="I852" s="8">
        <v>0</v>
      </c>
      <c r="J852" s="8">
        <v>4</v>
      </c>
      <c r="K852" s="8" t="s">
        <v>2143</v>
      </c>
      <c r="L852" s="9"/>
      <c r="M852" s="9"/>
      <c r="N852" s="9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</row>
    <row r="853" spans="1:31" x14ac:dyDescent="0.25">
      <c r="A853" s="7" t="s">
        <v>2144</v>
      </c>
      <c r="B853" s="8" t="s">
        <v>2145</v>
      </c>
      <c r="C853" s="8"/>
      <c r="D853" s="8" t="s">
        <v>2096</v>
      </c>
      <c r="E853" s="8" t="s">
        <v>2097</v>
      </c>
      <c r="F853" s="7" t="s">
        <v>26</v>
      </c>
      <c r="G853" s="9"/>
      <c r="H853" s="24" t="str">
        <f t="shared" si="15"/>
        <v>23.4.2. Name of the Scheme oh_help_scheme_name</v>
      </c>
      <c r="I853" s="9"/>
      <c r="J853" s="9"/>
      <c r="K853" s="8" t="s">
        <v>2143</v>
      </c>
      <c r="L853" s="8" t="s">
        <v>2098</v>
      </c>
      <c r="M853" s="8" t="s">
        <v>2099</v>
      </c>
      <c r="N853" s="9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</row>
    <row r="854" spans="1:31" x14ac:dyDescent="0.25">
      <c r="A854" s="7" t="s">
        <v>2146</v>
      </c>
      <c r="B854" s="8" t="s">
        <v>2147</v>
      </c>
      <c r="C854" s="8"/>
      <c r="D854" s="8" t="s">
        <v>2102</v>
      </c>
      <c r="E854" s="8" t="s">
        <v>2103</v>
      </c>
      <c r="F854" s="7" t="s">
        <v>18</v>
      </c>
      <c r="G854" s="9"/>
      <c r="H854" s="24" t="str">
        <f t="shared" si="15"/>
        <v>23.4.2.1. Name of the Scheme - Other oh_help_other_scheme_name</v>
      </c>
      <c r="I854" s="9"/>
      <c r="J854" s="9"/>
      <c r="K854" s="22" t="s">
        <v>2148</v>
      </c>
      <c r="L854" s="9"/>
      <c r="M854" s="9"/>
      <c r="N854" s="9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</row>
    <row r="855" spans="1:31" x14ac:dyDescent="0.25">
      <c r="A855" s="7" t="s">
        <v>2149</v>
      </c>
      <c r="B855" s="8" t="s">
        <v>2150</v>
      </c>
      <c r="C855" s="8"/>
      <c r="D855" s="8" t="s">
        <v>2107</v>
      </c>
      <c r="E855" s="8" t="s">
        <v>2108</v>
      </c>
      <c r="F855" s="7" t="s">
        <v>18</v>
      </c>
      <c r="G855" s="7" t="s">
        <v>128</v>
      </c>
      <c r="H855" s="24" t="str">
        <f t="shared" si="15"/>
        <v>23.4.3. Through DBT Cash (In Rs.) oh_help_dbt_cash</v>
      </c>
      <c r="I855" s="8">
        <v>0</v>
      </c>
      <c r="J855" s="8">
        <v>6</v>
      </c>
      <c r="K855" s="8" t="s">
        <v>2143</v>
      </c>
      <c r="L855" s="9"/>
      <c r="M855" s="9"/>
      <c r="N855" s="9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</row>
    <row r="856" spans="1:31" x14ac:dyDescent="0.25">
      <c r="A856" s="4">
        <v>24</v>
      </c>
      <c r="B856" s="5"/>
      <c r="C856" s="24"/>
      <c r="D856" s="24" t="s">
        <v>2151</v>
      </c>
      <c r="E856" s="24" t="s">
        <v>2152</v>
      </c>
      <c r="F856" s="5"/>
      <c r="G856" s="5"/>
      <c r="H856" s="24" t="str">
        <f t="shared" si="15"/>
        <v xml:space="preserve">24 Membership Information </v>
      </c>
      <c r="I856" s="5"/>
      <c r="J856" s="5"/>
      <c r="K856" s="5"/>
      <c r="L856" s="5"/>
      <c r="M856" s="5"/>
      <c r="N856" s="5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</row>
    <row r="857" spans="1:31" x14ac:dyDescent="0.25">
      <c r="A857" s="7">
        <v>24</v>
      </c>
      <c r="B857" s="8" t="s">
        <v>2153</v>
      </c>
      <c r="C857" s="8"/>
      <c r="D857" s="8" t="s">
        <v>2154</v>
      </c>
      <c r="E857" s="8" t="s">
        <v>2155</v>
      </c>
      <c r="F857" s="7" t="s">
        <v>26</v>
      </c>
      <c r="G857" s="9"/>
      <c r="H857" s="24" t="str">
        <f t="shared" si="15"/>
        <v>24 Are you a member of any Government Institution / Organization / Corporation? membership_information</v>
      </c>
      <c r="I857" s="9"/>
      <c r="J857" s="9"/>
      <c r="K857" s="9"/>
      <c r="L857" s="8" t="s">
        <v>124</v>
      </c>
      <c r="M857" s="8" t="s">
        <v>601</v>
      </c>
      <c r="N857" s="9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</row>
    <row r="858" spans="1:31" x14ac:dyDescent="0.25">
      <c r="A858" s="7">
        <v>24.1</v>
      </c>
      <c r="B858" s="9"/>
      <c r="C858" s="24"/>
      <c r="D858" s="24" t="s">
        <v>2156</v>
      </c>
      <c r="E858" s="24" t="s">
        <v>2157</v>
      </c>
      <c r="F858" s="7" t="s">
        <v>96</v>
      </c>
      <c r="G858" s="9"/>
      <c r="H858" s="24" t="str">
        <f t="shared" si="15"/>
        <v xml:space="preserve">24.1 Membership: 1 </v>
      </c>
      <c r="I858" s="9"/>
      <c r="J858" s="9"/>
      <c r="K858" s="9"/>
      <c r="L858" s="9"/>
      <c r="M858" s="9"/>
      <c r="N858" s="9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</row>
    <row r="859" spans="1:31" x14ac:dyDescent="0.25">
      <c r="A859" s="7" t="s">
        <v>2158</v>
      </c>
      <c r="B859" s="8" t="s">
        <v>2159</v>
      </c>
      <c r="C859" s="8"/>
      <c r="D859" s="8" t="s">
        <v>2160</v>
      </c>
      <c r="E859" s="8" t="s">
        <v>2161</v>
      </c>
      <c r="F859" s="7" t="s">
        <v>18</v>
      </c>
      <c r="G859" s="9"/>
      <c r="H859" s="24" t="str">
        <f t="shared" si="15"/>
        <v>24.1.1 Name of Institution/Organization/Corporation sr1_member_institution_name</v>
      </c>
      <c r="I859" s="9"/>
      <c r="J859" s="9"/>
      <c r="K859" s="9"/>
      <c r="L859" s="9"/>
      <c r="M859" s="9"/>
      <c r="N859" s="9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</row>
    <row r="860" spans="1:31" x14ac:dyDescent="0.25">
      <c r="A860" s="7" t="s">
        <v>2162</v>
      </c>
      <c r="B860" s="8" t="s">
        <v>2163</v>
      </c>
      <c r="C860" s="8"/>
      <c r="D860" s="8" t="s">
        <v>2164</v>
      </c>
      <c r="E860" s="8" t="s">
        <v>2165</v>
      </c>
      <c r="F860" s="7" t="s">
        <v>18</v>
      </c>
      <c r="G860" s="9"/>
      <c r="H860" s="24" t="str">
        <f t="shared" si="15"/>
        <v>24.1.2 Benefits Received sr1_member_institution_received_benefit</v>
      </c>
      <c r="I860" s="9"/>
      <c r="J860" s="9"/>
      <c r="K860" s="9"/>
      <c r="L860" s="9"/>
      <c r="M860" s="9"/>
      <c r="N860" s="9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</row>
    <row r="861" spans="1:31" x14ac:dyDescent="0.25">
      <c r="A861" s="7">
        <v>24.2</v>
      </c>
      <c r="B861" s="9"/>
      <c r="C861" s="24"/>
      <c r="D861" s="24" t="s">
        <v>2166</v>
      </c>
      <c r="E861" s="30" t="s">
        <v>2167</v>
      </c>
      <c r="F861" s="7" t="s">
        <v>96</v>
      </c>
      <c r="G861" s="9"/>
      <c r="H861" s="24" t="str">
        <f t="shared" si="15"/>
        <v xml:space="preserve">24.2 Membership: 2 </v>
      </c>
      <c r="I861" s="9"/>
      <c r="J861" s="9"/>
      <c r="K861" s="9"/>
      <c r="L861" s="9"/>
      <c r="M861" s="9"/>
      <c r="N861" s="9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</row>
    <row r="862" spans="1:31" x14ac:dyDescent="0.25">
      <c r="A862" s="7" t="s">
        <v>2168</v>
      </c>
      <c r="B862" s="8" t="s">
        <v>2169</v>
      </c>
      <c r="C862" s="8"/>
      <c r="D862" s="8" t="s">
        <v>2160</v>
      </c>
      <c r="E862" s="8" t="s">
        <v>2161</v>
      </c>
      <c r="F862" s="7" t="s">
        <v>18</v>
      </c>
      <c r="G862" s="9"/>
      <c r="H862" s="24" t="str">
        <f t="shared" si="15"/>
        <v>24.2.1 Name of Institution/Organization/Corporation sr2_member_institution_name</v>
      </c>
      <c r="I862" s="9"/>
      <c r="J862" s="9"/>
      <c r="K862" s="9"/>
      <c r="L862" s="9"/>
      <c r="M862" s="9"/>
      <c r="N862" s="9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</row>
    <row r="863" spans="1:31" x14ac:dyDescent="0.25">
      <c r="A863" s="7" t="s">
        <v>2170</v>
      </c>
      <c r="B863" s="8" t="s">
        <v>2171</v>
      </c>
      <c r="C863" s="8"/>
      <c r="D863" s="8" t="s">
        <v>2164</v>
      </c>
      <c r="E863" s="8" t="s">
        <v>2165</v>
      </c>
      <c r="F863" s="7" t="s">
        <v>18</v>
      </c>
      <c r="G863" s="9"/>
      <c r="H863" s="24" t="str">
        <f t="shared" si="15"/>
        <v>24.2.2 Benefits Received sr2_member_institution_received_benefit</v>
      </c>
      <c r="I863" s="9"/>
      <c r="J863" s="9"/>
      <c r="K863" s="9"/>
      <c r="L863" s="9"/>
      <c r="M863" s="9"/>
      <c r="N863" s="9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</row>
    <row r="864" spans="1:31" x14ac:dyDescent="0.25">
      <c r="A864" s="7">
        <v>24.3</v>
      </c>
      <c r="B864" s="9"/>
      <c r="C864" s="24"/>
      <c r="D864" s="24" t="s">
        <v>2172</v>
      </c>
      <c r="E864" s="30" t="s">
        <v>2173</v>
      </c>
      <c r="F864" s="7" t="s">
        <v>96</v>
      </c>
      <c r="G864" s="9"/>
      <c r="H864" s="24" t="str">
        <f t="shared" si="15"/>
        <v xml:space="preserve">24.3 Membership: 3 </v>
      </c>
      <c r="I864" s="9"/>
      <c r="J864" s="9"/>
      <c r="K864" s="9"/>
      <c r="L864" s="9"/>
      <c r="M864" s="9"/>
      <c r="N864" s="9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</row>
    <row r="865" spans="1:31" x14ac:dyDescent="0.25">
      <c r="A865" s="7" t="s">
        <v>2174</v>
      </c>
      <c r="B865" s="8" t="s">
        <v>2175</v>
      </c>
      <c r="C865" s="8"/>
      <c r="D865" s="8" t="s">
        <v>2160</v>
      </c>
      <c r="E865" s="8" t="s">
        <v>2161</v>
      </c>
      <c r="F865" s="7" t="s">
        <v>18</v>
      </c>
      <c r="G865" s="9"/>
      <c r="H865" s="24" t="str">
        <f t="shared" si="15"/>
        <v>24.3.1 Name of Institution/Organization/Corporation sr3_member_institution_name</v>
      </c>
      <c r="I865" s="9"/>
      <c r="J865" s="9"/>
      <c r="K865" s="9"/>
      <c r="L865" s="9"/>
      <c r="M865" s="9"/>
      <c r="N865" s="9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</row>
    <row r="866" spans="1:31" x14ac:dyDescent="0.25">
      <c r="A866" s="7" t="s">
        <v>2176</v>
      </c>
      <c r="B866" s="8" t="s">
        <v>2177</v>
      </c>
      <c r="C866" s="8"/>
      <c r="D866" s="8" t="s">
        <v>2164</v>
      </c>
      <c r="E866" s="8" t="s">
        <v>2165</v>
      </c>
      <c r="F866" s="7" t="s">
        <v>18</v>
      </c>
      <c r="G866" s="9"/>
      <c r="H866" s="24" t="str">
        <f t="shared" si="15"/>
        <v>24.3.2 Benefits Received sr3_member_institution_received_benefit</v>
      </c>
      <c r="I866" s="9"/>
      <c r="J866" s="9"/>
      <c r="K866" s="9"/>
      <c r="L866" s="9"/>
      <c r="M866" s="9"/>
      <c r="N866" s="9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</row>
    <row r="867" spans="1:31" x14ac:dyDescent="0.25">
      <c r="A867" s="4">
        <v>25</v>
      </c>
      <c r="B867" s="5"/>
      <c r="C867" s="24"/>
      <c r="D867" s="24" t="s">
        <v>2178</v>
      </c>
      <c r="E867" s="24" t="s">
        <v>2179</v>
      </c>
      <c r="F867" s="4" t="s">
        <v>96</v>
      </c>
      <c r="G867" s="5"/>
      <c r="H867" s="24" t="str">
        <f t="shared" si="15"/>
        <v xml:space="preserve">25 Major upcoming obstacles in Beekeeping </v>
      </c>
      <c r="I867" s="5"/>
      <c r="J867" s="5"/>
      <c r="K867" s="5"/>
      <c r="L867" s="5"/>
      <c r="M867" s="5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</row>
    <row r="868" spans="1:31" x14ac:dyDescent="0.25">
      <c r="A868" s="7">
        <v>25</v>
      </c>
      <c r="B868" s="22" t="s">
        <v>2180</v>
      </c>
      <c r="C868" s="8"/>
      <c r="D868" s="8" t="s">
        <v>2181</v>
      </c>
      <c r="E868" s="8" t="s">
        <v>2182</v>
      </c>
      <c r="F868" s="7" t="s">
        <v>26</v>
      </c>
      <c r="G868" s="9"/>
      <c r="H868" s="24" t="str">
        <f t="shared" si="15"/>
        <v>25 What are the major obstacles faced in Beekeeping in your area? beekeeping_major_obstacles</v>
      </c>
      <c r="I868" s="9"/>
      <c r="J868" s="9"/>
      <c r="K868" s="9"/>
      <c r="L868" s="8" t="s">
        <v>2183</v>
      </c>
      <c r="M868" s="7" t="s">
        <v>2184</v>
      </c>
      <c r="N868" s="9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</row>
    <row r="869" spans="1:31" x14ac:dyDescent="0.25">
      <c r="A869" s="7">
        <v>25.1</v>
      </c>
      <c r="B869" s="8" t="s">
        <v>2185</v>
      </c>
      <c r="C869" s="8"/>
      <c r="D869" s="8" t="s">
        <v>2186</v>
      </c>
      <c r="E869" s="8" t="s">
        <v>2187</v>
      </c>
      <c r="F869" s="7" t="s">
        <v>18</v>
      </c>
      <c r="G869" s="9"/>
      <c r="H869" s="24" t="str">
        <f t="shared" si="15"/>
        <v>25.1 What are the major obstacles faced in Beekeeping in your area? - Other beekeeping_major_obstacles_other</v>
      </c>
      <c r="I869" s="9"/>
      <c r="J869" s="9"/>
      <c r="K869" s="8" t="s">
        <v>2188</v>
      </c>
      <c r="L869" s="9"/>
      <c r="M869" s="9"/>
      <c r="N869" s="9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</row>
    <row r="870" spans="1:31" x14ac:dyDescent="0.25">
      <c r="A870" s="4">
        <v>26</v>
      </c>
      <c r="B870" s="5"/>
      <c r="C870" s="24"/>
      <c r="D870" s="24" t="s">
        <v>2189</v>
      </c>
      <c r="E870" s="24" t="s">
        <v>2190</v>
      </c>
      <c r="F870" s="31" t="s">
        <v>96</v>
      </c>
      <c r="G870" s="5"/>
      <c r="H870" s="24" t="str">
        <f t="shared" si="15"/>
        <v xml:space="preserve">26 Factors affecting the Production of Honey </v>
      </c>
      <c r="I870" s="5"/>
      <c r="J870" s="5"/>
      <c r="K870" s="5"/>
      <c r="L870" s="5"/>
      <c r="M870" s="5"/>
      <c r="N870" s="5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</row>
    <row r="871" spans="1:31" x14ac:dyDescent="0.25">
      <c r="A871" s="7">
        <v>26</v>
      </c>
      <c r="B871" s="8" t="s">
        <v>2191</v>
      </c>
      <c r="C871" s="8"/>
      <c r="D871" s="8" t="s">
        <v>2192</v>
      </c>
      <c r="E871" s="8" t="s">
        <v>2193</v>
      </c>
      <c r="F871" s="7" t="s">
        <v>26</v>
      </c>
      <c r="G871" s="9"/>
      <c r="H871" s="24" t="str">
        <f t="shared" si="15"/>
        <v>26 What are the factors affecting the Production of Honey? honey_affecting_factors</v>
      </c>
      <c r="I871" s="9"/>
      <c r="J871" s="9"/>
      <c r="K871" s="9"/>
      <c r="L871" s="8" t="s">
        <v>2194</v>
      </c>
      <c r="M871" s="8" t="s">
        <v>2195</v>
      </c>
      <c r="N871" s="9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</row>
    <row r="872" spans="1:31" x14ac:dyDescent="0.25">
      <c r="A872" s="7" t="s">
        <v>2196</v>
      </c>
      <c r="B872" s="8" t="s">
        <v>2197</v>
      </c>
      <c r="C872" s="8"/>
      <c r="D872" s="8" t="s">
        <v>2198</v>
      </c>
      <c r="E872" s="8" t="s">
        <v>2199</v>
      </c>
      <c r="F872" s="7" t="s">
        <v>18</v>
      </c>
      <c r="G872" s="9"/>
      <c r="H872" s="24" t="str">
        <f t="shared" si="15"/>
        <v>26.1. What are the factors affecting the Production of Honey? - Other honey_affecting_factors_other</v>
      </c>
      <c r="I872" s="9"/>
      <c r="J872" s="9"/>
      <c r="K872" s="8" t="s">
        <v>2200</v>
      </c>
      <c r="L872" s="9"/>
      <c r="M872" s="9"/>
      <c r="N872" s="9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</row>
    <row r="873" spans="1:31" x14ac:dyDescent="0.25">
      <c r="A873" s="4">
        <v>27</v>
      </c>
      <c r="B873" s="5"/>
      <c r="C873" s="24"/>
      <c r="D873" s="24" t="s">
        <v>2201</v>
      </c>
      <c r="E873" s="24" t="s">
        <v>2202</v>
      </c>
      <c r="F873" s="31" t="s">
        <v>96</v>
      </c>
      <c r="G873" s="5"/>
      <c r="H873" s="24" t="str">
        <f t="shared" si="15"/>
        <v xml:space="preserve">27 Factors affecting bees </v>
      </c>
      <c r="I873" s="5"/>
      <c r="J873" s="5"/>
      <c r="K873" s="5"/>
      <c r="L873" s="5"/>
      <c r="M873" s="5"/>
      <c r="N873" s="5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</row>
    <row r="874" spans="1:31" x14ac:dyDescent="0.25">
      <c r="A874" s="7">
        <v>27</v>
      </c>
      <c r="B874" s="22" t="s">
        <v>2203</v>
      </c>
      <c r="C874" s="8"/>
      <c r="D874" s="8" t="s">
        <v>2204</v>
      </c>
      <c r="E874" s="8" t="s">
        <v>2205</v>
      </c>
      <c r="F874" s="7" t="s">
        <v>26</v>
      </c>
      <c r="G874" s="9"/>
      <c r="H874" s="24" t="str">
        <f t="shared" si="15"/>
        <v>27 What are the factors affecting Bees? bee_affecting_factors</v>
      </c>
      <c r="I874" s="9"/>
      <c r="J874" s="9"/>
      <c r="K874" s="9"/>
      <c r="L874" s="8" t="s">
        <v>2206</v>
      </c>
      <c r="M874" s="8" t="s">
        <v>2207</v>
      </c>
      <c r="N874" s="9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</row>
    <row r="875" spans="1:31" x14ac:dyDescent="0.25">
      <c r="A875" s="7" t="s">
        <v>2208</v>
      </c>
      <c r="B875" s="22" t="s">
        <v>2209</v>
      </c>
      <c r="C875" s="8"/>
      <c r="D875" s="8" t="s">
        <v>2210</v>
      </c>
      <c r="E875" s="8" t="s">
        <v>2211</v>
      </c>
      <c r="F875" s="7" t="s">
        <v>18</v>
      </c>
      <c r="G875" s="9"/>
      <c r="H875" s="24" t="str">
        <f t="shared" si="15"/>
        <v>27.1. What are the factors affecting Bees? - Other bee_affecting_factors_other</v>
      </c>
      <c r="I875" s="9"/>
      <c r="J875" s="9"/>
      <c r="K875" s="8" t="s">
        <v>2212</v>
      </c>
      <c r="L875" s="9"/>
      <c r="M875" s="9"/>
      <c r="N875" s="9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</row>
    <row r="876" spans="1:31" x14ac:dyDescent="0.25">
      <c r="A876" s="4">
        <v>28</v>
      </c>
      <c r="B876" s="5"/>
      <c r="C876" s="24"/>
      <c r="D876" s="24" t="s">
        <v>2213</v>
      </c>
      <c r="E876" s="24" t="s">
        <v>2214</v>
      </c>
      <c r="F876" s="31" t="s">
        <v>96</v>
      </c>
      <c r="G876" s="5"/>
      <c r="H876" s="24" t="str">
        <f t="shared" si="15"/>
        <v xml:space="preserve">28 Factors that determine the quality of Honey </v>
      </c>
      <c r="I876" s="5"/>
      <c r="J876" s="5"/>
      <c r="K876" s="5"/>
      <c r="L876" s="5"/>
      <c r="M876" s="5"/>
      <c r="N876" s="5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</row>
    <row r="877" spans="1:31" x14ac:dyDescent="0.25">
      <c r="A877" s="7">
        <v>28</v>
      </c>
      <c r="B877" s="8" t="s">
        <v>2215</v>
      </c>
      <c r="C877" s="8"/>
      <c r="D877" s="8" t="s">
        <v>2216</v>
      </c>
      <c r="E877" s="8" t="s">
        <v>2217</v>
      </c>
      <c r="F877" s="7" t="s">
        <v>26</v>
      </c>
      <c r="G877" s="9"/>
      <c r="H877" s="8" t="str">
        <f t="shared" si="15"/>
        <v>28 What are the factors that determine the quality of Honey? honey_determine_quality_factors</v>
      </c>
      <c r="I877" s="9"/>
      <c r="J877" s="9"/>
      <c r="K877" s="9"/>
      <c r="L877" s="8" t="s">
        <v>2218</v>
      </c>
      <c r="M877" s="8" t="s">
        <v>2219</v>
      </c>
      <c r="N877" s="9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</row>
    <row r="878" spans="1:31" x14ac:dyDescent="0.25">
      <c r="A878" s="7" t="s">
        <v>2220</v>
      </c>
      <c r="B878" s="8" t="s">
        <v>2221</v>
      </c>
      <c r="C878" s="8"/>
      <c r="D878" s="8" t="s">
        <v>2222</v>
      </c>
      <c r="E878" s="8" t="s">
        <v>2223</v>
      </c>
      <c r="F878" s="7" t="s">
        <v>18</v>
      </c>
      <c r="G878" s="9"/>
      <c r="H878" s="8" t="str">
        <f t="shared" si="15"/>
        <v>28.1. What are the factors that determine the quality of Honey? - Other honey_determine_quality_factors_other</v>
      </c>
      <c r="I878" s="9"/>
      <c r="J878" s="9"/>
      <c r="K878" s="8" t="s">
        <v>2224</v>
      </c>
      <c r="L878" s="9"/>
      <c r="M878" s="9"/>
      <c r="N878" s="9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</row>
    <row r="879" spans="1:31" x14ac:dyDescent="0.25">
      <c r="A879" s="4">
        <v>29</v>
      </c>
      <c r="B879" s="5"/>
      <c r="C879" s="24"/>
      <c r="D879" s="24" t="s">
        <v>2225</v>
      </c>
      <c r="E879" s="24" t="s">
        <v>2226</v>
      </c>
      <c r="F879" s="4" t="s">
        <v>184</v>
      </c>
      <c r="G879" s="5"/>
      <c r="H879" s="24" t="str">
        <f t="shared" si="15"/>
        <v xml:space="preserve">29 Please provide colony count and average rental price for pollination. </v>
      </c>
      <c r="I879" s="5"/>
      <c r="J879" s="5"/>
      <c r="K879" s="5"/>
      <c r="L879" s="5"/>
      <c r="M879" s="5"/>
      <c r="N879" s="5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</row>
    <row r="880" spans="1:31" x14ac:dyDescent="0.25">
      <c r="A880" s="7">
        <v>29.1</v>
      </c>
      <c r="B880" s="22" t="s">
        <v>2227</v>
      </c>
      <c r="C880" s="8"/>
      <c r="D880" s="8" t="s">
        <v>2225</v>
      </c>
      <c r="E880" s="8" t="s">
        <v>2226</v>
      </c>
      <c r="F880" s="13" t="s">
        <v>123</v>
      </c>
      <c r="G880" s="9"/>
      <c r="H880" s="8" t="str">
        <f t="shared" si="15"/>
        <v>29.1 Please provide colony count and average rental price for pollination. rental_confirm</v>
      </c>
      <c r="I880" s="9"/>
      <c r="J880" s="9"/>
      <c r="K880" s="9"/>
      <c r="L880" s="8" t="s">
        <v>124</v>
      </c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</row>
    <row r="881" spans="1:31" x14ac:dyDescent="0.25">
      <c r="A881" s="26" t="s">
        <v>2228</v>
      </c>
      <c r="B881" s="9"/>
      <c r="C881" s="15"/>
      <c r="D881" s="15" t="s">
        <v>2229</v>
      </c>
      <c r="E881" s="15" t="s">
        <v>2230</v>
      </c>
      <c r="F881" s="32" t="s">
        <v>96</v>
      </c>
      <c r="G881" s="9"/>
      <c r="H881" s="15" t="str">
        <f t="shared" si="15"/>
        <v xml:space="preserve">29.1.1. Record: 1 </v>
      </c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</row>
    <row r="882" spans="1:31" x14ac:dyDescent="0.25">
      <c r="A882" s="7" t="s">
        <v>2228</v>
      </c>
      <c r="B882" s="8" t="s">
        <v>2231</v>
      </c>
      <c r="C882" s="8"/>
      <c r="D882" s="8" t="s">
        <v>2229</v>
      </c>
      <c r="E882" s="8" t="s">
        <v>2230</v>
      </c>
      <c r="F882" s="13" t="s">
        <v>123</v>
      </c>
      <c r="G882" s="9"/>
      <c r="H882" s="8" t="str">
        <f t="shared" si="15"/>
        <v>29.1.1. Record: 1 flowers1_confirm</v>
      </c>
      <c r="I882" s="9"/>
      <c r="J882" s="9"/>
      <c r="K882" s="9"/>
      <c r="L882" s="8" t="s">
        <v>124</v>
      </c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</row>
    <row r="883" spans="1:31" x14ac:dyDescent="0.25">
      <c r="A883" s="7">
        <v>29.1</v>
      </c>
      <c r="B883" s="8" t="s">
        <v>2232</v>
      </c>
      <c r="C883" s="8"/>
      <c r="D883" s="8" t="s">
        <v>2233</v>
      </c>
      <c r="E883" s="8" t="s">
        <v>2234</v>
      </c>
      <c r="F883" s="7" t="s">
        <v>26</v>
      </c>
      <c r="G883" s="9"/>
      <c r="H883" s="9"/>
      <c r="I883" s="9"/>
      <c r="J883" s="9"/>
      <c r="K883" s="9"/>
      <c r="L883" s="8" t="s">
        <v>2235</v>
      </c>
      <c r="M883" s="9"/>
      <c r="N883" s="9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</row>
    <row r="884" spans="1:31" x14ac:dyDescent="0.25">
      <c r="A884" s="7" t="s">
        <v>2236</v>
      </c>
      <c r="B884" s="8" t="s">
        <v>2237</v>
      </c>
      <c r="C884" s="8"/>
      <c r="D884" s="8" t="s">
        <v>2238</v>
      </c>
      <c r="E884" s="22" t="s">
        <v>2239</v>
      </c>
      <c r="F884" s="7" t="s">
        <v>18</v>
      </c>
      <c r="G884" s="9"/>
      <c r="H884" s="9"/>
      <c r="I884" s="9"/>
      <c r="J884" s="9"/>
      <c r="K884" s="9"/>
      <c r="L884" s="9"/>
      <c r="M884" s="9"/>
      <c r="N884" s="9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</row>
    <row r="885" spans="1:31" x14ac:dyDescent="0.25">
      <c r="A885" s="7" t="s">
        <v>2240</v>
      </c>
      <c r="B885" s="8" t="s">
        <v>2241</v>
      </c>
      <c r="C885" s="8"/>
      <c r="D885" s="8" t="s">
        <v>2242</v>
      </c>
      <c r="E885" s="8" t="s">
        <v>2243</v>
      </c>
      <c r="F885" s="7" t="s">
        <v>18</v>
      </c>
      <c r="G885" s="9"/>
      <c r="H885" s="8" t="str">
        <f t="shared" ref="H885:H889" si="16">CONCATENATE(A885, " ", D885, " ", B885)</f>
        <v>29.1.1.1. Name of the crop to be Pollinated sr1_flowers_crop_name</v>
      </c>
      <c r="I885" s="9"/>
      <c r="J885" s="9"/>
      <c r="K885" s="8" t="s">
        <v>2244</v>
      </c>
      <c r="L885" s="9"/>
      <c r="M885" s="9"/>
      <c r="N885" s="9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</row>
    <row r="886" spans="1:31" x14ac:dyDescent="0.25">
      <c r="A886" s="7" t="s">
        <v>2245</v>
      </c>
      <c r="B886" s="8" t="s">
        <v>2246</v>
      </c>
      <c r="C886" s="8"/>
      <c r="D886" s="8" t="s">
        <v>2247</v>
      </c>
      <c r="E886" s="8" t="s">
        <v>2248</v>
      </c>
      <c r="F886" s="7" t="s">
        <v>18</v>
      </c>
      <c r="G886" s="13" t="s">
        <v>128</v>
      </c>
      <c r="H886" s="8" t="str">
        <f t="shared" si="16"/>
        <v>29.1.1.2. Number of Colonies sr1_flowers_colonies_number</v>
      </c>
      <c r="I886" s="9"/>
      <c r="J886" s="9"/>
      <c r="K886" s="8" t="s">
        <v>2244</v>
      </c>
      <c r="L886" s="9"/>
      <c r="M886" s="9"/>
      <c r="N886" s="9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</row>
    <row r="887" spans="1:31" x14ac:dyDescent="0.25">
      <c r="A887" s="7" t="s">
        <v>2249</v>
      </c>
      <c r="B887" s="22" t="s">
        <v>2250</v>
      </c>
      <c r="C887" s="8"/>
      <c r="D887" s="8" t="s">
        <v>2251</v>
      </c>
      <c r="E887" s="8" t="s">
        <v>2252</v>
      </c>
      <c r="F887" s="7" t="s">
        <v>18</v>
      </c>
      <c r="G887" s="9"/>
      <c r="H887" s="8" t="str">
        <f t="shared" si="16"/>
        <v>29.1.1.3. Average Price per Colony sr1_flowers_average_price_per_colony</v>
      </c>
      <c r="I887" s="9"/>
      <c r="J887" s="9"/>
      <c r="K887" s="8" t="s">
        <v>2244</v>
      </c>
      <c r="L887" s="9"/>
      <c r="M887" s="9"/>
      <c r="N887" s="9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</row>
    <row r="888" spans="1:31" x14ac:dyDescent="0.25">
      <c r="A888" s="26" t="s">
        <v>2253</v>
      </c>
      <c r="B888" s="9"/>
      <c r="C888" s="15"/>
      <c r="D888" s="15" t="s">
        <v>2254</v>
      </c>
      <c r="E888" s="15" t="s">
        <v>2255</v>
      </c>
      <c r="F888" s="32" t="s">
        <v>96</v>
      </c>
      <c r="G888" s="9"/>
      <c r="H888" s="15" t="str">
        <f t="shared" si="16"/>
        <v xml:space="preserve">29.1.2. Record: 2 </v>
      </c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</row>
    <row r="889" spans="1:31" x14ac:dyDescent="0.25">
      <c r="A889" s="7" t="s">
        <v>2253</v>
      </c>
      <c r="B889" s="8" t="s">
        <v>2256</v>
      </c>
      <c r="C889" s="8"/>
      <c r="D889" s="8" t="s">
        <v>2254</v>
      </c>
      <c r="E889" s="8" t="s">
        <v>2255</v>
      </c>
      <c r="F889" s="13" t="s">
        <v>123</v>
      </c>
      <c r="G889" s="9"/>
      <c r="H889" s="8" t="str">
        <f t="shared" si="16"/>
        <v>29.1.2. Record: 2 flowers2_confirm</v>
      </c>
      <c r="I889" s="9"/>
      <c r="J889" s="9"/>
      <c r="K889" s="9"/>
      <c r="L889" s="8" t="s">
        <v>124</v>
      </c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</row>
    <row r="890" spans="1:31" x14ac:dyDescent="0.25">
      <c r="A890" s="7">
        <v>29.1</v>
      </c>
      <c r="B890" s="8" t="s">
        <v>2257</v>
      </c>
      <c r="C890" s="8"/>
      <c r="D890" s="8" t="s">
        <v>2233</v>
      </c>
      <c r="E890" s="8" t="s">
        <v>2234</v>
      </c>
      <c r="F890" s="7" t="s">
        <v>26</v>
      </c>
      <c r="G890" s="9"/>
      <c r="H890" s="9"/>
      <c r="I890" s="9"/>
      <c r="J890" s="9"/>
      <c r="K890" s="9"/>
      <c r="L890" s="8" t="s">
        <v>2235</v>
      </c>
      <c r="M890" s="9"/>
      <c r="N890" s="9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</row>
    <row r="891" spans="1:31" x14ac:dyDescent="0.25">
      <c r="A891" s="7" t="s">
        <v>2236</v>
      </c>
      <c r="B891" s="8" t="s">
        <v>2258</v>
      </c>
      <c r="C891" s="8"/>
      <c r="D891" s="8" t="s">
        <v>2238</v>
      </c>
      <c r="E891" s="8" t="s">
        <v>2239</v>
      </c>
      <c r="F891" s="7" t="s">
        <v>18</v>
      </c>
      <c r="G891" s="9"/>
      <c r="H891" s="9"/>
      <c r="I891" s="9"/>
      <c r="J891" s="9"/>
      <c r="K891" s="9"/>
      <c r="L891" s="9"/>
      <c r="M891" s="9"/>
      <c r="N891" s="9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</row>
    <row r="892" spans="1:31" x14ac:dyDescent="0.25">
      <c r="A892" s="7" t="s">
        <v>2259</v>
      </c>
      <c r="B892" s="8" t="s">
        <v>2260</v>
      </c>
      <c r="C892" s="8"/>
      <c r="D892" s="8" t="s">
        <v>2242</v>
      </c>
      <c r="E892" s="8" t="s">
        <v>2243</v>
      </c>
      <c r="F892" s="7" t="s">
        <v>18</v>
      </c>
      <c r="G892" s="9"/>
      <c r="H892" s="8" t="str">
        <f t="shared" ref="H892:H895" si="17">CONCATENATE(A892, " ", D892, " ", B892)</f>
        <v>29.1.2.1. Name of the crop to be Pollinated sr2_flowers_crop_name</v>
      </c>
      <c r="I892" s="9"/>
      <c r="J892" s="9"/>
      <c r="K892" s="8" t="s">
        <v>2261</v>
      </c>
      <c r="L892" s="9"/>
      <c r="M892" s="9"/>
      <c r="N892" s="9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</row>
    <row r="893" spans="1:31" x14ac:dyDescent="0.25">
      <c r="A893" s="7" t="s">
        <v>2262</v>
      </c>
      <c r="B893" s="8" t="s">
        <v>2263</v>
      </c>
      <c r="C893" s="8"/>
      <c r="D893" s="8" t="s">
        <v>2247</v>
      </c>
      <c r="E893" s="8" t="s">
        <v>2248</v>
      </c>
      <c r="F893" s="7" t="s">
        <v>18</v>
      </c>
      <c r="G893" s="13" t="s">
        <v>128</v>
      </c>
      <c r="H893" s="8" t="str">
        <f t="shared" si="17"/>
        <v>29.1.2.2. Number of Colonies sr2_flowers_colonies_number</v>
      </c>
      <c r="I893" s="9"/>
      <c r="J893" s="9"/>
      <c r="K893" s="8" t="s">
        <v>2261</v>
      </c>
      <c r="L893" s="9"/>
      <c r="M893" s="9"/>
      <c r="N893" s="9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</row>
    <row r="894" spans="1:31" x14ac:dyDescent="0.25">
      <c r="A894" s="7" t="s">
        <v>2264</v>
      </c>
      <c r="B894" s="22" t="s">
        <v>2265</v>
      </c>
      <c r="C894" s="8"/>
      <c r="D894" s="8" t="s">
        <v>2251</v>
      </c>
      <c r="E894" s="8" t="s">
        <v>2252</v>
      </c>
      <c r="F894" s="7" t="s">
        <v>18</v>
      </c>
      <c r="G894" s="9"/>
      <c r="H894" s="8" t="str">
        <f t="shared" si="17"/>
        <v>29.1.2.3. Average Price per Colony sr2_flowers_average_price_per_colony</v>
      </c>
      <c r="I894" s="9"/>
      <c r="J894" s="9"/>
      <c r="K894" s="8" t="s">
        <v>2261</v>
      </c>
      <c r="L894" s="9"/>
      <c r="M894" s="9"/>
      <c r="N894" s="9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</row>
    <row r="895" spans="1:31" x14ac:dyDescent="0.25">
      <c r="A895" s="33">
        <v>30</v>
      </c>
      <c r="B895" s="34"/>
      <c r="C895" s="35"/>
      <c r="D895" s="35" t="s">
        <v>2266</v>
      </c>
      <c r="E895" s="35" t="s">
        <v>2267</v>
      </c>
      <c r="F895" s="34"/>
      <c r="G895" s="34"/>
      <c r="H895" s="35" t="str">
        <f t="shared" si="17"/>
        <v xml:space="preserve">30 Beekeeping Contract Detail </v>
      </c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</row>
    <row r="896" spans="1:31" x14ac:dyDescent="0.25">
      <c r="A896" s="34"/>
      <c r="B896" s="34"/>
      <c r="C896" s="36"/>
      <c r="D896" s="36" t="s">
        <v>2266</v>
      </c>
      <c r="E896" s="35" t="s">
        <v>2267</v>
      </c>
      <c r="F896" s="37" t="s">
        <v>96</v>
      </c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</row>
    <row r="897" spans="1:31" x14ac:dyDescent="0.25">
      <c r="A897" s="33">
        <v>30</v>
      </c>
      <c r="B897" s="35" t="s">
        <v>2268</v>
      </c>
      <c r="C897" s="35"/>
      <c r="D897" s="35" t="s">
        <v>2269</v>
      </c>
      <c r="E897" s="35" t="s">
        <v>2270</v>
      </c>
      <c r="F897" s="38" t="s">
        <v>123</v>
      </c>
      <c r="G897" s="34"/>
      <c r="H897" s="35" t="str">
        <f t="shared" ref="H897:H905" si="18">CONCATENATE(A897, " ", D897, " ", B897)</f>
        <v>30 Are you working under any kind of contract during Beekeeping? beekeeping_contract</v>
      </c>
      <c r="I897" s="34"/>
      <c r="J897" s="34"/>
      <c r="K897" s="34"/>
      <c r="L897" s="35" t="s">
        <v>2271</v>
      </c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</row>
    <row r="898" spans="1:31" x14ac:dyDescent="0.25">
      <c r="A898" s="33" t="s">
        <v>2272</v>
      </c>
      <c r="B898" s="35" t="s">
        <v>2273</v>
      </c>
      <c r="C898" s="35"/>
      <c r="D898" s="35" t="s">
        <v>2274</v>
      </c>
      <c r="E898" s="35" t="s">
        <v>2275</v>
      </c>
      <c r="F898" s="38" t="s">
        <v>26</v>
      </c>
      <c r="G898" s="34"/>
      <c r="H898" s="35" t="str">
        <f t="shared" si="18"/>
        <v>30.1. Type of contract type_of_contract</v>
      </c>
      <c r="I898" s="34"/>
      <c r="J898" s="34"/>
      <c r="K898" s="35" t="s">
        <v>2276</v>
      </c>
      <c r="L898" s="35" t="s">
        <v>2277</v>
      </c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</row>
    <row r="899" spans="1:31" x14ac:dyDescent="0.25">
      <c r="A899" s="33" t="s">
        <v>2278</v>
      </c>
      <c r="B899" s="35" t="s">
        <v>2279</v>
      </c>
      <c r="C899" s="35"/>
      <c r="D899" s="35" t="s">
        <v>2280</v>
      </c>
      <c r="E899" s="35" t="s">
        <v>2281</v>
      </c>
      <c r="F899" s="38" t="s">
        <v>26</v>
      </c>
      <c r="G899" s="34"/>
      <c r="H899" s="35" t="str">
        <f t="shared" si="18"/>
        <v>30.2. Name Of Firm / Contractor / Processing Unit  name_of_contract</v>
      </c>
      <c r="I899" s="34"/>
      <c r="J899" s="34"/>
      <c r="K899" s="35" t="s">
        <v>2276</v>
      </c>
      <c r="L899" s="35" t="s">
        <v>2282</v>
      </c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</row>
    <row r="900" spans="1:31" x14ac:dyDescent="0.25">
      <c r="A900" s="33" t="s">
        <v>2283</v>
      </c>
      <c r="B900" s="35" t="s">
        <v>2284</v>
      </c>
      <c r="C900" s="35"/>
      <c r="D900" s="35" t="s">
        <v>2285</v>
      </c>
      <c r="E900" s="35" t="s">
        <v>2286</v>
      </c>
      <c r="F900" s="33" t="s">
        <v>18</v>
      </c>
      <c r="G900" s="34"/>
      <c r="H900" s="35" t="str">
        <f t="shared" si="18"/>
        <v>30.2.1. Name Of Firm / Contractor / Processing Unit - Other name_of_contract_other</v>
      </c>
      <c r="I900" s="34"/>
      <c r="J900" s="34"/>
      <c r="K900" s="35" t="s">
        <v>2287</v>
      </c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</row>
    <row r="901" spans="1:31" x14ac:dyDescent="0.25">
      <c r="A901" s="33" t="s">
        <v>2288</v>
      </c>
      <c r="B901" s="35" t="s">
        <v>2289</v>
      </c>
      <c r="C901" s="35"/>
      <c r="D901" s="35" t="s">
        <v>2290</v>
      </c>
      <c r="E901" s="35" t="s">
        <v>2291</v>
      </c>
      <c r="F901" s="38" t="s">
        <v>26</v>
      </c>
      <c r="G901" s="34"/>
      <c r="H901" s="35" t="str">
        <f t="shared" si="18"/>
        <v>30.3. Parameters of Contract parameters_of_contract</v>
      </c>
      <c r="I901" s="34"/>
      <c r="J901" s="34"/>
      <c r="K901" s="35" t="s">
        <v>2276</v>
      </c>
      <c r="L901" s="35" t="s">
        <v>2292</v>
      </c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</row>
    <row r="902" spans="1:31" x14ac:dyDescent="0.25">
      <c r="A902" s="33" t="s">
        <v>2293</v>
      </c>
      <c r="B902" s="35" t="s">
        <v>2294</v>
      </c>
      <c r="C902" s="35"/>
      <c r="D902" s="35" t="s">
        <v>2295</v>
      </c>
      <c r="E902" s="35" t="s">
        <v>2296</v>
      </c>
      <c r="F902" s="33" t="s">
        <v>18</v>
      </c>
      <c r="G902" s="34"/>
      <c r="H902" s="35" t="str">
        <f t="shared" si="18"/>
        <v>30.3.1. Parameters of Contract - Other parameters_of_contract_other</v>
      </c>
      <c r="I902" s="34"/>
      <c r="J902" s="34"/>
      <c r="K902" s="35" t="s">
        <v>2297</v>
      </c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</row>
    <row r="903" spans="1:31" x14ac:dyDescent="0.25">
      <c r="A903" s="33" t="s">
        <v>2298</v>
      </c>
      <c r="B903" s="35" t="s">
        <v>2299</v>
      </c>
      <c r="C903" s="35"/>
      <c r="D903" s="35" t="s">
        <v>2300</v>
      </c>
      <c r="E903" s="35" t="s">
        <v>2301</v>
      </c>
      <c r="F903" s="38" t="s">
        <v>123</v>
      </c>
      <c r="G903" s="34"/>
      <c r="H903" s="35" t="str">
        <f t="shared" si="18"/>
        <v>30.4. Are you any benefits after contract benefits_contract_confirm</v>
      </c>
      <c r="I903" s="34"/>
      <c r="J903" s="34"/>
      <c r="K903" s="35" t="s">
        <v>2276</v>
      </c>
      <c r="L903" s="35" t="s">
        <v>2271</v>
      </c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</row>
    <row r="904" spans="1:31" x14ac:dyDescent="0.25">
      <c r="A904" s="33" t="s">
        <v>2302</v>
      </c>
      <c r="B904" s="35" t="s">
        <v>2303</v>
      </c>
      <c r="C904" s="35"/>
      <c r="D904" s="35" t="s">
        <v>2304</v>
      </c>
      <c r="E904" s="35" t="s">
        <v>2305</v>
      </c>
      <c r="F904" s="38" t="s">
        <v>26</v>
      </c>
      <c r="G904" s="34"/>
      <c r="H904" s="35" t="str">
        <f t="shared" si="18"/>
        <v>30.5. If Yes, then type of benefits type_of_benefits</v>
      </c>
      <c r="I904" s="34"/>
      <c r="J904" s="34"/>
      <c r="K904" s="35" t="s">
        <v>2276</v>
      </c>
      <c r="L904" s="35" t="s">
        <v>2306</v>
      </c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</row>
    <row r="905" spans="1:31" x14ac:dyDescent="0.25">
      <c r="A905" s="33" t="s">
        <v>2307</v>
      </c>
      <c r="B905" s="35" t="s">
        <v>2308</v>
      </c>
      <c r="C905" s="35"/>
      <c r="D905" s="35" t="s">
        <v>2309</v>
      </c>
      <c r="E905" s="35" t="s">
        <v>2310</v>
      </c>
      <c r="F905" s="33" t="s">
        <v>18</v>
      </c>
      <c r="G905" s="34"/>
      <c r="H905" s="35" t="str">
        <f t="shared" si="18"/>
        <v>30.5.1. If Yes, then type of benefits - Other type_of_benefits_other</v>
      </c>
      <c r="I905" s="34"/>
      <c r="J905" s="34"/>
      <c r="K905" s="35" t="s">
        <v>2311</v>
      </c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</row>
    <row r="906" spans="1:31" x14ac:dyDescent="0.25">
      <c r="A906" s="39">
        <v>31</v>
      </c>
      <c r="B906" s="40" t="s">
        <v>2312</v>
      </c>
      <c r="C906" s="40" t="str">
        <f t="shared" ref="C906:C926" si="19">CONCATENATE(A906, " ", D906, " - (",E906,")")</f>
        <v>31 Sales variety wise (Yes or No) - (विविधता के अनुसार बिक्री (हाँ या नहीं))</v>
      </c>
      <c r="D906" s="40" t="s">
        <v>2313</v>
      </c>
      <c r="E906" s="40" t="s">
        <v>2314</v>
      </c>
      <c r="F906" s="39" t="s">
        <v>123</v>
      </c>
      <c r="G906" s="34"/>
      <c r="H906" s="35"/>
      <c r="I906" s="34"/>
      <c r="J906" s="34"/>
      <c r="K906" s="35"/>
      <c r="L906" s="35" t="s">
        <v>2271</v>
      </c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</row>
    <row r="907" spans="1:31" x14ac:dyDescent="0.25">
      <c r="A907" s="41">
        <v>31.1</v>
      </c>
      <c r="B907" s="42"/>
      <c r="C907" s="42" t="str">
        <f t="shared" si="19"/>
        <v>31.1 Variety 1 - (विविधता 1)</v>
      </c>
      <c r="D907" s="42" t="s">
        <v>2315</v>
      </c>
      <c r="E907" s="42" t="s">
        <v>2316</v>
      </c>
      <c r="F907" s="41" t="s">
        <v>96</v>
      </c>
      <c r="G907" s="32"/>
      <c r="H907" s="36"/>
      <c r="I907" s="43"/>
      <c r="J907" s="43"/>
      <c r="K907" s="42" t="s">
        <v>2317</v>
      </c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</row>
    <row r="908" spans="1:31" x14ac:dyDescent="0.25">
      <c r="A908" s="39" t="s">
        <v>2318</v>
      </c>
      <c r="B908" s="40" t="s">
        <v>2319</v>
      </c>
      <c r="C908" s="40" t="str">
        <f t="shared" si="19"/>
        <v>31.1.0 Name - (नाम)</v>
      </c>
      <c r="D908" s="40" t="s">
        <v>2320</v>
      </c>
      <c r="E908" s="40" t="s">
        <v>2321</v>
      </c>
      <c r="F908" s="33" t="s">
        <v>18</v>
      </c>
      <c r="G908" s="13"/>
      <c r="H908" s="35"/>
      <c r="I908" s="34"/>
      <c r="J908" s="34"/>
      <c r="K908" s="40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</row>
    <row r="909" spans="1:31" x14ac:dyDescent="0.25">
      <c r="A909" s="39" t="s">
        <v>2322</v>
      </c>
      <c r="B909" s="40" t="s">
        <v>2323</v>
      </c>
      <c r="C909" s="40" t="str">
        <f t="shared" si="19"/>
        <v>31.1.1 Quntity (in KG) - (मात्रा (किलोग्राम में))</v>
      </c>
      <c r="D909" s="40" t="s">
        <v>2324</v>
      </c>
      <c r="E909" s="40" t="s">
        <v>2325</v>
      </c>
      <c r="F909" s="33" t="s">
        <v>18</v>
      </c>
      <c r="G909" s="13" t="s">
        <v>128</v>
      </c>
      <c r="H909" s="35"/>
      <c r="I909" s="34"/>
      <c r="J909" s="34"/>
      <c r="K909" s="40" t="s">
        <v>2317</v>
      </c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</row>
    <row r="910" spans="1:31" x14ac:dyDescent="0.25">
      <c r="A910" s="39" t="s">
        <v>2326</v>
      </c>
      <c r="B910" s="40" t="s">
        <v>2327</v>
      </c>
      <c r="C910" s="40" t="str">
        <f t="shared" si="19"/>
        <v>31.1.2 Rate per KG (in Rs) - (प्रति किलोग्राम दर (रुपये में))</v>
      </c>
      <c r="D910" s="40" t="s">
        <v>2328</v>
      </c>
      <c r="E910" s="40" t="s">
        <v>2329</v>
      </c>
      <c r="F910" s="33" t="s">
        <v>18</v>
      </c>
      <c r="G910" s="13" t="s">
        <v>128</v>
      </c>
      <c r="H910" s="35"/>
      <c r="I910" s="34"/>
      <c r="J910" s="34"/>
      <c r="K910" s="40" t="s">
        <v>2317</v>
      </c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</row>
    <row r="911" spans="1:31" x14ac:dyDescent="0.25">
      <c r="A911" s="41">
        <v>31.2</v>
      </c>
      <c r="B911" s="42"/>
      <c r="C911" s="42" t="str">
        <f t="shared" si="19"/>
        <v>31.2 Variety 2 - (विविधता 2)</v>
      </c>
      <c r="D911" s="42" t="s">
        <v>2330</v>
      </c>
      <c r="E911" s="42" t="s">
        <v>2331</v>
      </c>
      <c r="F911" s="41" t="s">
        <v>96</v>
      </c>
      <c r="G911" s="32"/>
      <c r="H911" s="36"/>
      <c r="I911" s="43"/>
      <c r="J911" s="43"/>
      <c r="K911" s="42" t="s">
        <v>2317</v>
      </c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</row>
    <row r="912" spans="1:31" x14ac:dyDescent="0.25">
      <c r="A912" s="39" t="s">
        <v>2332</v>
      </c>
      <c r="B912" s="40" t="s">
        <v>2333</v>
      </c>
      <c r="C912" s="40" t="str">
        <f t="shared" si="19"/>
        <v>31.2.0 Name - (नाम)</v>
      </c>
      <c r="D912" s="40" t="s">
        <v>2320</v>
      </c>
      <c r="E912" s="40" t="s">
        <v>2321</v>
      </c>
      <c r="F912" s="33" t="s">
        <v>18</v>
      </c>
      <c r="G912" s="13"/>
      <c r="H912" s="35"/>
      <c r="I912" s="34"/>
      <c r="J912" s="34"/>
      <c r="K912" s="40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</row>
    <row r="913" spans="1:31" x14ac:dyDescent="0.25">
      <c r="A913" s="39" t="s">
        <v>2334</v>
      </c>
      <c r="B913" s="40" t="s">
        <v>2335</v>
      </c>
      <c r="C913" s="40" t="str">
        <f t="shared" si="19"/>
        <v>31.2.1. Quntity (in KG) - (मात्रा (किलोग्राम में))</v>
      </c>
      <c r="D913" s="40" t="s">
        <v>2324</v>
      </c>
      <c r="E913" s="40" t="s">
        <v>2325</v>
      </c>
      <c r="F913" s="33" t="s">
        <v>18</v>
      </c>
      <c r="G913" s="13" t="s">
        <v>128</v>
      </c>
      <c r="H913" s="35"/>
      <c r="I913" s="34"/>
      <c r="J913" s="34"/>
      <c r="K913" s="40" t="s">
        <v>2317</v>
      </c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</row>
    <row r="914" spans="1:31" x14ac:dyDescent="0.25">
      <c r="A914" s="39" t="s">
        <v>2336</v>
      </c>
      <c r="B914" s="40" t="s">
        <v>2337</v>
      </c>
      <c r="C914" s="40" t="str">
        <f t="shared" si="19"/>
        <v>31.2.2. Rate per KG (in Rs) - (प्रति किलोग्राम दर (रुपये में))</v>
      </c>
      <c r="D914" s="40" t="s">
        <v>2328</v>
      </c>
      <c r="E914" s="40" t="s">
        <v>2329</v>
      </c>
      <c r="F914" s="33" t="s">
        <v>18</v>
      </c>
      <c r="G914" s="13" t="s">
        <v>128</v>
      </c>
      <c r="H914" s="35"/>
      <c r="I914" s="34"/>
      <c r="J914" s="34"/>
      <c r="K914" s="40" t="s">
        <v>2317</v>
      </c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</row>
    <row r="915" spans="1:31" x14ac:dyDescent="0.25">
      <c r="A915" s="41">
        <v>31.3</v>
      </c>
      <c r="B915" s="42"/>
      <c r="C915" s="42" t="str">
        <f t="shared" si="19"/>
        <v>31.3 Variety 3 - (विविधता 3)</v>
      </c>
      <c r="D915" s="42" t="s">
        <v>2338</v>
      </c>
      <c r="E915" s="42" t="s">
        <v>2339</v>
      </c>
      <c r="F915" s="41" t="s">
        <v>96</v>
      </c>
      <c r="G915" s="32"/>
      <c r="H915" s="36"/>
      <c r="I915" s="43"/>
      <c r="J915" s="43"/>
      <c r="K915" s="42" t="s">
        <v>2317</v>
      </c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</row>
    <row r="916" spans="1:31" x14ac:dyDescent="0.25">
      <c r="A916" s="39" t="s">
        <v>2340</v>
      </c>
      <c r="B916" s="40" t="s">
        <v>2341</v>
      </c>
      <c r="C916" s="40" t="str">
        <f t="shared" si="19"/>
        <v>31.3.0 Name - (नाम)</v>
      </c>
      <c r="D916" s="40" t="s">
        <v>2320</v>
      </c>
      <c r="E916" s="40" t="s">
        <v>2321</v>
      </c>
      <c r="F916" s="33" t="s">
        <v>18</v>
      </c>
      <c r="G916" s="13"/>
      <c r="H916" s="35"/>
      <c r="I916" s="34"/>
      <c r="J916" s="34"/>
      <c r="K916" s="40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</row>
    <row r="917" spans="1:31" x14ac:dyDescent="0.25">
      <c r="A917" s="39" t="s">
        <v>2342</v>
      </c>
      <c r="B917" s="40" t="s">
        <v>2343</v>
      </c>
      <c r="C917" s="40" t="str">
        <f t="shared" si="19"/>
        <v>31.3.1. Quntity (in KG) - (मात्रा (किलोग्राम में))</v>
      </c>
      <c r="D917" s="40" t="s">
        <v>2324</v>
      </c>
      <c r="E917" s="40" t="s">
        <v>2325</v>
      </c>
      <c r="F917" s="33" t="s">
        <v>18</v>
      </c>
      <c r="G917" s="13" t="s">
        <v>128</v>
      </c>
      <c r="H917" s="35"/>
      <c r="I917" s="34"/>
      <c r="J917" s="34"/>
      <c r="K917" s="40" t="s">
        <v>2317</v>
      </c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</row>
    <row r="918" spans="1:31" x14ac:dyDescent="0.25">
      <c r="A918" s="39" t="s">
        <v>2344</v>
      </c>
      <c r="B918" s="40" t="s">
        <v>2345</v>
      </c>
      <c r="C918" s="40" t="str">
        <f t="shared" si="19"/>
        <v>31.3.2. Rate per KG (in Rs) - (प्रति किलोग्राम दर (रुपये में))</v>
      </c>
      <c r="D918" s="40" t="s">
        <v>2328</v>
      </c>
      <c r="E918" s="40" t="s">
        <v>2329</v>
      </c>
      <c r="F918" s="33" t="s">
        <v>18</v>
      </c>
      <c r="G918" s="13" t="s">
        <v>128</v>
      </c>
      <c r="H918" s="10"/>
      <c r="I918" s="10"/>
      <c r="J918" s="10"/>
      <c r="K918" s="40" t="s">
        <v>2317</v>
      </c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</row>
    <row r="919" spans="1:31" x14ac:dyDescent="0.25">
      <c r="A919" s="41" t="s">
        <v>2346</v>
      </c>
      <c r="B919" s="42"/>
      <c r="C919" s="42" t="str">
        <f t="shared" si="19"/>
        <v>31.4. Variety 4 - (विविधता 4)</v>
      </c>
      <c r="D919" s="42" t="s">
        <v>2347</v>
      </c>
      <c r="E919" s="42" t="s">
        <v>2348</v>
      </c>
      <c r="F919" s="41" t="s">
        <v>96</v>
      </c>
      <c r="G919" s="44"/>
      <c r="H919" s="44"/>
      <c r="I919" s="44"/>
      <c r="J919" s="44"/>
      <c r="K919" s="42" t="s">
        <v>2317</v>
      </c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</row>
    <row r="920" spans="1:31" x14ac:dyDescent="0.25">
      <c r="A920" s="39" t="s">
        <v>2349</v>
      </c>
      <c r="B920" s="40" t="s">
        <v>2350</v>
      </c>
      <c r="C920" s="40" t="str">
        <f t="shared" si="19"/>
        <v>31.4.0 Name - (नाम)</v>
      </c>
      <c r="D920" s="40" t="s">
        <v>2320</v>
      </c>
      <c r="E920" s="40" t="s">
        <v>2321</v>
      </c>
      <c r="F920" s="33" t="s">
        <v>18</v>
      </c>
      <c r="G920" s="13"/>
      <c r="H920" s="10"/>
      <c r="I920" s="10"/>
      <c r="J920" s="10"/>
      <c r="K920" s="4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</row>
    <row r="921" spans="1:31" x14ac:dyDescent="0.25">
      <c r="A921" s="39" t="s">
        <v>2351</v>
      </c>
      <c r="B921" s="40" t="s">
        <v>2352</v>
      </c>
      <c r="C921" s="40" t="str">
        <f t="shared" si="19"/>
        <v>31.4.1. Quntity (in KG) - (मात्रा (किलोग्राम में))</v>
      </c>
      <c r="D921" s="40" t="s">
        <v>2324</v>
      </c>
      <c r="E921" s="40" t="s">
        <v>2325</v>
      </c>
      <c r="F921" s="33" t="s">
        <v>18</v>
      </c>
      <c r="G921" s="13" t="s">
        <v>128</v>
      </c>
      <c r="H921" s="10"/>
      <c r="I921" s="10"/>
      <c r="J921" s="10"/>
      <c r="K921" s="40" t="s">
        <v>2317</v>
      </c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</row>
    <row r="922" spans="1:31" x14ac:dyDescent="0.25">
      <c r="A922" s="39" t="s">
        <v>2353</v>
      </c>
      <c r="B922" s="40" t="s">
        <v>2354</v>
      </c>
      <c r="C922" s="40" t="str">
        <f t="shared" si="19"/>
        <v>31.4.2. Rate per KG (in Rs) - (प्रति किलोग्राम दर (रुपये में))</v>
      </c>
      <c r="D922" s="40" t="s">
        <v>2328</v>
      </c>
      <c r="E922" s="40" t="s">
        <v>2329</v>
      </c>
      <c r="F922" s="33" t="s">
        <v>18</v>
      </c>
      <c r="G922" s="13" t="s">
        <v>128</v>
      </c>
      <c r="H922" s="10"/>
      <c r="I922" s="10"/>
      <c r="J922" s="10"/>
      <c r="K922" s="40" t="s">
        <v>2317</v>
      </c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</row>
    <row r="923" spans="1:31" x14ac:dyDescent="0.25">
      <c r="A923" s="41" t="s">
        <v>2355</v>
      </c>
      <c r="B923" s="42"/>
      <c r="C923" s="42" t="str">
        <f t="shared" si="19"/>
        <v>31.5. Variety 5 - (विविधता 5)</v>
      </c>
      <c r="D923" s="42" t="s">
        <v>2356</v>
      </c>
      <c r="E923" s="42" t="s">
        <v>2357</v>
      </c>
      <c r="F923" s="41" t="s">
        <v>96</v>
      </c>
      <c r="G923" s="44"/>
      <c r="H923" s="44"/>
      <c r="I923" s="44"/>
      <c r="J923" s="44"/>
      <c r="K923" s="42" t="s">
        <v>2317</v>
      </c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</row>
    <row r="924" spans="1:31" x14ac:dyDescent="0.25">
      <c r="A924" s="39" t="s">
        <v>2358</v>
      </c>
      <c r="B924" s="40" t="s">
        <v>2359</v>
      </c>
      <c r="C924" s="40" t="str">
        <f t="shared" si="19"/>
        <v>31.5.0 Name - (नाम)</v>
      </c>
      <c r="D924" s="40" t="s">
        <v>2320</v>
      </c>
      <c r="E924" s="40" t="s">
        <v>2321</v>
      </c>
      <c r="F924" s="33" t="s">
        <v>18</v>
      </c>
      <c r="G924" s="13"/>
      <c r="H924" s="10"/>
      <c r="I924" s="10"/>
      <c r="J924" s="10"/>
      <c r="K924" s="4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</row>
    <row r="925" spans="1:31" x14ac:dyDescent="0.25">
      <c r="A925" s="39" t="s">
        <v>2360</v>
      </c>
      <c r="B925" s="40" t="s">
        <v>2361</v>
      </c>
      <c r="C925" s="40" t="str">
        <f t="shared" si="19"/>
        <v>31.5.1. Quntity (in KG) - (मात्रा (किलोग्राम में))</v>
      </c>
      <c r="D925" s="40" t="s">
        <v>2324</v>
      </c>
      <c r="E925" s="40" t="s">
        <v>2325</v>
      </c>
      <c r="F925" s="33" t="s">
        <v>18</v>
      </c>
      <c r="G925" s="13" t="s">
        <v>128</v>
      </c>
      <c r="H925" s="10"/>
      <c r="I925" s="10"/>
      <c r="J925" s="10"/>
      <c r="K925" s="40" t="s">
        <v>2317</v>
      </c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</row>
    <row r="926" spans="1:31" x14ac:dyDescent="0.25">
      <c r="A926" s="39" t="s">
        <v>2362</v>
      </c>
      <c r="B926" s="40" t="s">
        <v>2363</v>
      </c>
      <c r="C926" s="40" t="str">
        <f t="shared" si="19"/>
        <v>31.5.2. Rate per KG (in Rs) - (प्रति किलोग्राम दर (रुपये में))</v>
      </c>
      <c r="D926" s="40" t="s">
        <v>2328</v>
      </c>
      <c r="E926" s="40" t="s">
        <v>2329</v>
      </c>
      <c r="F926" s="33" t="s">
        <v>18</v>
      </c>
      <c r="G926" s="13" t="s">
        <v>128</v>
      </c>
      <c r="H926" s="10"/>
      <c r="I926" s="10"/>
      <c r="J926" s="10"/>
      <c r="K926" s="40" t="s">
        <v>2317</v>
      </c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</row>
    <row r="927" spans="1:31" x14ac:dyDescent="0.25">
      <c r="A927" s="10"/>
      <c r="B927" s="10"/>
      <c r="C927" s="45"/>
      <c r="D927" s="45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</row>
    <row r="928" spans="1:31" x14ac:dyDescent="0.25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</row>
    <row r="929" spans="1:31" x14ac:dyDescent="0.25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</row>
    <row r="930" spans="1:31" x14ac:dyDescent="0.25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</row>
    <row r="931" spans="1:31" x14ac:dyDescent="0.25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</row>
    <row r="932" spans="1:31" x14ac:dyDescent="0.25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</row>
    <row r="933" spans="1:31" x14ac:dyDescent="0.25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</row>
    <row r="934" spans="1:31" x14ac:dyDescent="0.25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</row>
    <row r="935" spans="1:31" x14ac:dyDescent="0.2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</row>
    <row r="936" spans="1:31" x14ac:dyDescent="0.25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</row>
    <row r="937" spans="1:31" x14ac:dyDescent="0.25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</row>
    <row r="938" spans="1:31" x14ac:dyDescent="0.25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</row>
    <row r="939" spans="1:31" x14ac:dyDescent="0.25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</row>
    <row r="940" spans="1:31" x14ac:dyDescent="0.25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</row>
    <row r="941" spans="1:31" x14ac:dyDescent="0.25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</row>
    <row r="942" spans="1:31" x14ac:dyDescent="0.25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</row>
    <row r="943" spans="1:31" x14ac:dyDescent="0.25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</row>
    <row r="944" spans="1:31" x14ac:dyDescent="0.25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</row>
    <row r="945" spans="1:31" x14ac:dyDescent="0.2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</row>
    <row r="946" spans="1:31" x14ac:dyDescent="0.25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</row>
    <row r="947" spans="1:31" x14ac:dyDescent="0.25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</row>
    <row r="948" spans="1:31" x14ac:dyDescent="0.25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</row>
    <row r="949" spans="1:31" x14ac:dyDescent="0.25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</row>
    <row r="950" spans="1:31" x14ac:dyDescent="0.25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</row>
    <row r="951" spans="1:31" x14ac:dyDescent="0.25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</row>
    <row r="952" spans="1:31" x14ac:dyDescent="0.25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</row>
    <row r="953" spans="1:31" x14ac:dyDescent="0.25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</row>
    <row r="954" spans="1:31" x14ac:dyDescent="0.25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</row>
    <row r="955" spans="1:31" x14ac:dyDescent="0.2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</row>
    <row r="956" spans="1:31" x14ac:dyDescent="0.25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</row>
    <row r="957" spans="1:31" x14ac:dyDescent="0.25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</row>
    <row r="958" spans="1:31" x14ac:dyDescent="0.25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</row>
    <row r="959" spans="1:31" x14ac:dyDescent="0.25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</row>
    <row r="960" spans="1:31" x14ac:dyDescent="0.25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</row>
    <row r="961" spans="1:31" x14ac:dyDescent="0.25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</row>
    <row r="962" spans="1:31" x14ac:dyDescent="0.25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</row>
    <row r="963" spans="1:31" x14ac:dyDescent="0.25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</row>
    <row r="964" spans="1:31" x14ac:dyDescent="0.25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</row>
    <row r="965" spans="1:31" x14ac:dyDescent="0.2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</row>
    <row r="966" spans="1:31" x14ac:dyDescent="0.25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</row>
    <row r="967" spans="1:31" x14ac:dyDescent="0.25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</row>
    <row r="968" spans="1:31" x14ac:dyDescent="0.25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</row>
    <row r="969" spans="1:31" x14ac:dyDescent="0.25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</row>
    <row r="970" spans="1:31" x14ac:dyDescent="0.25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</row>
    <row r="971" spans="1:31" x14ac:dyDescent="0.25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</row>
    <row r="972" spans="1:31" x14ac:dyDescent="0.25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</row>
    <row r="973" spans="1:31" x14ac:dyDescent="0.25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</row>
    <row r="974" spans="1:31" x14ac:dyDescent="0.25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</row>
    <row r="975" spans="1:31" x14ac:dyDescent="0.2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</row>
    <row r="976" spans="1:31" x14ac:dyDescent="0.25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</row>
    <row r="977" spans="1:31" x14ac:dyDescent="0.25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</row>
    <row r="978" spans="1:31" x14ac:dyDescent="0.25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</row>
    <row r="979" spans="1:31" x14ac:dyDescent="0.25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</row>
    <row r="980" spans="1:31" x14ac:dyDescent="0.25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</row>
    <row r="981" spans="1:31" x14ac:dyDescent="0.25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</row>
    <row r="982" spans="1:31" x14ac:dyDescent="0.25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</row>
    <row r="983" spans="1:31" x14ac:dyDescent="0.25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</row>
    <row r="984" spans="1:31" x14ac:dyDescent="0.25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</row>
    <row r="985" spans="1:31" x14ac:dyDescent="0.2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</row>
    <row r="986" spans="1:31" x14ac:dyDescent="0.25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</row>
    <row r="987" spans="1:31" x14ac:dyDescent="0.25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</row>
    <row r="988" spans="1:31" x14ac:dyDescent="0.25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</row>
    <row r="989" spans="1:31" x14ac:dyDescent="0.25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</row>
    <row r="990" spans="1:31" x14ac:dyDescent="0.25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</row>
    <row r="991" spans="1:31" x14ac:dyDescent="0.25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</row>
    <row r="992" spans="1:31" x14ac:dyDescent="0.25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</row>
    <row r="993" spans="1:31" x14ac:dyDescent="0.25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</row>
    <row r="994" spans="1:31" x14ac:dyDescent="0.25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</row>
    <row r="995" spans="1:31" x14ac:dyDescent="0.2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</row>
    <row r="996" spans="1:31" x14ac:dyDescent="0.25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</row>
    <row r="997" spans="1:31" x14ac:dyDescent="0.25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</row>
    <row r="998" spans="1:31" x14ac:dyDescent="0.25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</row>
    <row r="999" spans="1:31" x14ac:dyDescent="0.25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</row>
    <row r="1000" spans="1:31" x14ac:dyDescent="0.25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</row>
    <row r="1001" spans="1:31" x14ac:dyDescent="0.25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</row>
    <row r="1002" spans="1:31" x14ac:dyDescent="0.25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</row>
    <row r="1003" spans="1:31" x14ac:dyDescent="0.25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</row>
    <row r="1004" spans="1:31" x14ac:dyDescent="0.25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</row>
    <row r="1005" spans="1:31" x14ac:dyDescent="0.25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</row>
    <row r="1006" spans="1:31" x14ac:dyDescent="0.25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</row>
    <row r="1007" spans="1:31" x14ac:dyDescent="0.25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</row>
    <row r="1008" spans="1:31" x14ac:dyDescent="0.25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</row>
    <row r="1009" spans="1:31" x14ac:dyDescent="0.25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</row>
    <row r="1010" spans="1:31" x14ac:dyDescent="0.25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</row>
    <row r="1011" spans="1:31" x14ac:dyDescent="0.25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</row>
    <row r="1012" spans="1:31" x14ac:dyDescent="0.25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</row>
    <row r="1013" spans="1:31" x14ac:dyDescent="0.25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</row>
    <row r="1014" spans="1:31" x14ac:dyDescent="0.25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</row>
    <row r="1015" spans="1:31" x14ac:dyDescent="0.25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</row>
    <row r="1016" spans="1:31" x14ac:dyDescent="0.25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</row>
    <row r="1017" spans="1:31" x14ac:dyDescent="0.25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</row>
    <row r="1018" spans="1:31" x14ac:dyDescent="0.25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</row>
    <row r="1019" spans="1:31" x14ac:dyDescent="0.25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</row>
    <row r="1020" spans="1:31" x14ac:dyDescent="0.25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</row>
    <row r="1021" spans="1:31" x14ac:dyDescent="0.25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  <c r="AA1021" s="10"/>
      <c r="AB1021" s="10"/>
      <c r="AC1021" s="10"/>
      <c r="AD1021" s="10"/>
      <c r="AE1021" s="10"/>
    </row>
    <row r="1022" spans="1:31" x14ac:dyDescent="0.25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  <c r="AA1022" s="10"/>
      <c r="AB1022" s="10"/>
      <c r="AC1022" s="10"/>
      <c r="AD1022" s="10"/>
      <c r="AE1022" s="10"/>
    </row>
    <row r="1023" spans="1:31" x14ac:dyDescent="0.25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  <c r="AA1023" s="10"/>
      <c r="AB1023" s="10"/>
      <c r="AC1023" s="10"/>
      <c r="AD1023" s="10"/>
      <c r="AE1023" s="10"/>
    </row>
    <row r="1024" spans="1:31" x14ac:dyDescent="0.25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  <c r="AA1024" s="10"/>
      <c r="AB1024" s="10"/>
      <c r="AC1024" s="10"/>
      <c r="AD1024" s="10"/>
      <c r="AE1024" s="10"/>
    </row>
    <row r="1025" spans="1:31" x14ac:dyDescent="0.25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  <c r="AA1025" s="10"/>
      <c r="AB1025" s="10"/>
      <c r="AC1025" s="10"/>
      <c r="AD1025" s="10"/>
      <c r="AE1025" s="10"/>
    </row>
    <row r="1026" spans="1:31" x14ac:dyDescent="0.25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  <c r="AA1026" s="10"/>
      <c r="AB1026" s="10"/>
      <c r="AC1026" s="10"/>
      <c r="AD1026" s="10"/>
      <c r="AE1026" s="10"/>
    </row>
    <row r="1027" spans="1:31" x14ac:dyDescent="0.25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  <c r="AA1027" s="10"/>
      <c r="AB1027" s="10"/>
      <c r="AC1027" s="10"/>
      <c r="AD1027" s="10"/>
      <c r="AE1027" s="10"/>
    </row>
    <row r="1028" spans="1:31" x14ac:dyDescent="0.25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  <c r="AA1028" s="10"/>
      <c r="AB1028" s="10"/>
      <c r="AC1028" s="10"/>
      <c r="AD1028" s="10"/>
      <c r="AE1028" s="10"/>
    </row>
    <row r="1029" spans="1:31" x14ac:dyDescent="0.25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  <c r="AA1029" s="10"/>
      <c r="AB1029" s="10"/>
      <c r="AC1029" s="10"/>
      <c r="AD1029" s="10"/>
      <c r="AE1029" s="10"/>
    </row>
    <row r="1030" spans="1:31" x14ac:dyDescent="0.25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  <c r="AA1030" s="10"/>
      <c r="AB1030" s="10"/>
      <c r="AC1030" s="10"/>
      <c r="AD1030" s="10"/>
      <c r="AE1030" s="10"/>
    </row>
    <row r="1031" spans="1:31" x14ac:dyDescent="0.25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</row>
    <row r="1032" spans="1:31" x14ac:dyDescent="0.25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  <c r="AA1032" s="10"/>
      <c r="AB1032" s="10"/>
      <c r="AC1032" s="10"/>
      <c r="AD1032" s="10"/>
      <c r="AE1032" s="10"/>
    </row>
    <row r="1033" spans="1:31" x14ac:dyDescent="0.25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  <c r="AA1033" s="10"/>
      <c r="AB1033" s="10"/>
      <c r="AC1033" s="10"/>
      <c r="AD1033" s="10"/>
      <c r="AE1033" s="10"/>
    </row>
    <row r="1034" spans="1:31" x14ac:dyDescent="0.25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  <c r="AA1034" s="10"/>
      <c r="AB1034" s="10"/>
      <c r="AC1034" s="10"/>
      <c r="AD1034" s="10"/>
      <c r="AE1034" s="10"/>
    </row>
    <row r="1035" spans="1:31" x14ac:dyDescent="0.25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  <c r="AA1035" s="10"/>
      <c r="AB1035" s="10"/>
      <c r="AC1035" s="10"/>
      <c r="AD1035" s="10"/>
      <c r="AE1035" s="10"/>
    </row>
    <row r="1036" spans="1:31" x14ac:dyDescent="0.25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  <c r="AA1036" s="10"/>
      <c r="AB1036" s="10"/>
      <c r="AC1036" s="10"/>
      <c r="AD1036" s="10"/>
      <c r="AE1036" s="10"/>
    </row>
    <row r="1037" spans="1:31" x14ac:dyDescent="0.25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  <c r="AA1037" s="10"/>
      <c r="AB1037" s="10"/>
      <c r="AC1037" s="10"/>
      <c r="AD1037" s="10"/>
      <c r="AE1037" s="10"/>
    </row>
    <row r="1038" spans="1:31" x14ac:dyDescent="0.25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  <c r="AA1038" s="10"/>
      <c r="AB1038" s="10"/>
      <c r="AC1038" s="10"/>
      <c r="AD1038" s="10"/>
      <c r="AE1038" s="10"/>
    </row>
    <row r="1039" spans="1:31" x14ac:dyDescent="0.25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  <c r="AA1039" s="10"/>
      <c r="AB1039" s="10"/>
      <c r="AC1039" s="10"/>
      <c r="AD1039" s="10"/>
      <c r="AE1039" s="10"/>
    </row>
    <row r="1040" spans="1:31" x14ac:dyDescent="0.25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  <c r="AA1040" s="10"/>
      <c r="AB1040" s="10"/>
      <c r="AC1040" s="10"/>
      <c r="AD1040" s="10"/>
      <c r="AE1040" s="10"/>
    </row>
    <row r="1041" spans="1:31" x14ac:dyDescent="0.25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  <c r="AA1041" s="10"/>
      <c r="AB1041" s="10"/>
      <c r="AC1041" s="10"/>
      <c r="AD1041" s="10"/>
      <c r="AE1041" s="10"/>
    </row>
    <row r="1042" spans="1:31" x14ac:dyDescent="0.25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  <c r="AA1042" s="10"/>
      <c r="AB1042" s="10"/>
      <c r="AC1042" s="10"/>
      <c r="AD1042" s="10"/>
      <c r="AE1042" s="10"/>
    </row>
    <row r="1043" spans="1:31" x14ac:dyDescent="0.25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  <c r="AA1043" s="10"/>
      <c r="AB1043" s="10"/>
      <c r="AC1043" s="10"/>
      <c r="AD1043" s="10"/>
      <c r="AE1043" s="10"/>
    </row>
    <row r="1044" spans="1:31" x14ac:dyDescent="0.25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</row>
    <row r="1045" spans="1:31" x14ac:dyDescent="0.25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  <c r="AA1045" s="10"/>
      <c r="AB1045" s="10"/>
      <c r="AC1045" s="10"/>
      <c r="AD1045" s="10"/>
      <c r="AE1045" s="10"/>
    </row>
    <row r="1046" spans="1:31" x14ac:dyDescent="0.25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  <c r="AA1046" s="10"/>
      <c r="AB1046" s="10"/>
      <c r="AC1046" s="10"/>
      <c r="AD1046" s="10"/>
      <c r="AE1046" s="10"/>
    </row>
    <row r="1047" spans="1:31" x14ac:dyDescent="0.25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  <c r="AA1047" s="10"/>
      <c r="AB1047" s="10"/>
      <c r="AC1047" s="10"/>
      <c r="AD1047" s="10"/>
      <c r="AE1047" s="10"/>
    </row>
    <row r="1048" spans="1:31" x14ac:dyDescent="0.25">
      <c r="A1048" s="10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  <c r="AA1048" s="10"/>
      <c r="AB1048" s="10"/>
      <c r="AC1048" s="10"/>
      <c r="AD1048" s="10"/>
      <c r="AE1048" s="10"/>
    </row>
    <row r="1049" spans="1:31" x14ac:dyDescent="0.25">
      <c r="A1049" s="10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  <c r="AA1049" s="10"/>
      <c r="AB1049" s="10"/>
      <c r="AC1049" s="10"/>
      <c r="AD1049" s="10"/>
      <c r="AE1049" s="10"/>
    </row>
    <row r="1050" spans="1:31" x14ac:dyDescent="0.25">
      <c r="A1050" s="10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  <c r="AA1050" s="10"/>
      <c r="AB1050" s="10"/>
      <c r="AC1050" s="10"/>
      <c r="AD1050" s="10"/>
      <c r="AE1050" s="10"/>
    </row>
    <row r="1051" spans="1:31" x14ac:dyDescent="0.25">
      <c r="A1051" s="10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  <c r="AA1051" s="10"/>
      <c r="AB1051" s="10"/>
      <c r="AC1051" s="10"/>
      <c r="AD1051" s="10"/>
      <c r="AE1051" s="10"/>
    </row>
    <row r="1052" spans="1:31" x14ac:dyDescent="0.25">
      <c r="A1052" s="10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  <c r="AA1052" s="10"/>
      <c r="AB1052" s="10"/>
      <c r="AC1052" s="10"/>
      <c r="AD1052" s="10"/>
      <c r="AE1052" s="10"/>
    </row>
    <row r="1053" spans="1:31" x14ac:dyDescent="0.25">
      <c r="A1053" s="10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  <c r="AA1053" s="10"/>
      <c r="AB1053" s="10"/>
      <c r="AC1053" s="10"/>
      <c r="AD1053" s="10"/>
      <c r="AE1053" s="10"/>
    </row>
    <row r="1054" spans="1:31" x14ac:dyDescent="0.25">
      <c r="A1054" s="10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  <c r="AA1054" s="10"/>
      <c r="AB1054" s="10"/>
      <c r="AC1054" s="10"/>
      <c r="AD1054" s="10"/>
      <c r="AE1054" s="10"/>
    </row>
    <row r="1055" spans="1:31" x14ac:dyDescent="0.25">
      <c r="A1055" s="10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  <c r="AA1055" s="10"/>
      <c r="AB1055" s="10"/>
      <c r="AC1055" s="10"/>
      <c r="AD1055" s="10"/>
      <c r="AE1055" s="10"/>
    </row>
    <row r="1056" spans="1:31" x14ac:dyDescent="0.25">
      <c r="A1056" s="10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  <c r="AA1056" s="10"/>
      <c r="AB1056" s="10"/>
      <c r="AC1056" s="10"/>
      <c r="AD1056" s="10"/>
      <c r="AE1056" s="10"/>
    </row>
    <row r="1057" spans="1:31" x14ac:dyDescent="0.25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</row>
    <row r="1058" spans="1:31" x14ac:dyDescent="0.25">
      <c r="A1058" s="10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  <c r="AA1058" s="10"/>
      <c r="AB1058" s="10"/>
      <c r="AC1058" s="10"/>
      <c r="AD1058" s="10"/>
      <c r="AE1058" s="10"/>
    </row>
    <row r="1059" spans="1:31" x14ac:dyDescent="0.25">
      <c r="A1059" s="10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</row>
    <row r="1060" spans="1:31" x14ac:dyDescent="0.25">
      <c r="A1060" s="10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  <c r="AA1060" s="10"/>
      <c r="AB1060" s="10"/>
      <c r="AC1060" s="10"/>
      <c r="AD1060" s="10"/>
      <c r="AE1060" s="10"/>
    </row>
    <row r="1061" spans="1:31" x14ac:dyDescent="0.25">
      <c r="A1061" s="10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  <c r="AA1061" s="10"/>
      <c r="AB1061" s="10"/>
      <c r="AC1061" s="10"/>
      <c r="AD1061" s="10"/>
      <c r="AE1061" s="10"/>
    </row>
    <row r="1062" spans="1:31" x14ac:dyDescent="0.25">
      <c r="A1062" s="10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  <c r="AA1062" s="10"/>
      <c r="AB1062" s="10"/>
      <c r="AC1062" s="10"/>
      <c r="AD1062" s="10"/>
      <c r="AE1062" s="10"/>
    </row>
    <row r="1063" spans="1:31" x14ac:dyDescent="0.25">
      <c r="A1063" s="10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  <c r="AA1063" s="10"/>
      <c r="AB1063" s="10"/>
      <c r="AC1063" s="10"/>
      <c r="AD1063" s="10"/>
      <c r="AE1063" s="10"/>
    </row>
    <row r="1064" spans="1:31" x14ac:dyDescent="0.25">
      <c r="A1064" s="10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  <c r="AA1064" s="10"/>
      <c r="AB1064" s="10"/>
      <c r="AC1064" s="10"/>
      <c r="AD1064" s="10"/>
      <c r="AE1064" s="10"/>
    </row>
    <row r="1065" spans="1:31" x14ac:dyDescent="0.25">
      <c r="A1065" s="10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  <c r="AA1065" s="10"/>
      <c r="AB1065" s="10"/>
      <c r="AC1065" s="10"/>
      <c r="AD1065" s="10"/>
      <c r="AE1065" s="10"/>
    </row>
    <row r="1066" spans="1:31" x14ac:dyDescent="0.25">
      <c r="A1066" s="10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  <c r="AA1066" s="10"/>
      <c r="AB1066" s="10"/>
      <c r="AC1066" s="10"/>
      <c r="AD1066" s="10"/>
      <c r="AE1066" s="10"/>
    </row>
    <row r="1067" spans="1:31" x14ac:dyDescent="0.25">
      <c r="A1067" s="10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  <c r="AA1067" s="10"/>
      <c r="AB1067" s="10"/>
      <c r="AC1067" s="10"/>
      <c r="AD1067" s="10"/>
      <c r="AE1067" s="10"/>
    </row>
    <row r="1068" spans="1:31" x14ac:dyDescent="0.25">
      <c r="A1068" s="10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  <c r="AA1068" s="10"/>
      <c r="AB1068" s="10"/>
      <c r="AC1068" s="10"/>
      <c r="AD1068" s="10"/>
      <c r="AE1068" s="10"/>
    </row>
    <row r="1069" spans="1:31" x14ac:dyDescent="0.25">
      <c r="A1069" s="10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  <c r="AA1069" s="10"/>
      <c r="AB1069" s="10"/>
      <c r="AC1069" s="10"/>
      <c r="AD1069" s="10"/>
      <c r="AE1069" s="10"/>
    </row>
    <row r="1070" spans="1:31" x14ac:dyDescent="0.25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</row>
    <row r="1071" spans="1:31" x14ac:dyDescent="0.25">
      <c r="A1071" s="10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  <c r="AA1071" s="10"/>
      <c r="AB1071" s="10"/>
      <c r="AC1071" s="10"/>
      <c r="AD1071" s="10"/>
      <c r="AE1071" s="10"/>
    </row>
    <row r="1072" spans="1:31" x14ac:dyDescent="0.25">
      <c r="A1072" s="10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  <c r="AA1072" s="10"/>
      <c r="AB1072" s="10"/>
      <c r="AC1072" s="10"/>
      <c r="AD1072" s="10"/>
      <c r="AE1072" s="10"/>
    </row>
    <row r="1073" spans="1:31" x14ac:dyDescent="0.25">
      <c r="A1073" s="10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  <c r="AA1073" s="10"/>
      <c r="AB1073" s="10"/>
      <c r="AC1073" s="10"/>
      <c r="AD1073" s="10"/>
      <c r="AE1073" s="10"/>
    </row>
    <row r="1074" spans="1:31" x14ac:dyDescent="0.25">
      <c r="A1074" s="10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  <c r="AA1074" s="10"/>
      <c r="AB1074" s="10"/>
      <c r="AC1074" s="10"/>
      <c r="AD1074" s="10"/>
      <c r="AE1074" s="10"/>
    </row>
    <row r="1075" spans="1:31" x14ac:dyDescent="0.25">
      <c r="A1075" s="10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  <c r="AA1075" s="10"/>
      <c r="AB1075" s="10"/>
      <c r="AC1075" s="10"/>
      <c r="AD1075" s="10"/>
      <c r="AE1075" s="10"/>
    </row>
    <row r="1076" spans="1:31" x14ac:dyDescent="0.25">
      <c r="A1076" s="10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  <c r="AA1076" s="10"/>
      <c r="AB1076" s="10"/>
      <c r="AC1076" s="10"/>
      <c r="AD1076" s="10"/>
      <c r="AE1076" s="10"/>
    </row>
    <row r="1077" spans="1:31" x14ac:dyDescent="0.25">
      <c r="A1077" s="10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  <c r="AA1077" s="10"/>
      <c r="AB1077" s="10"/>
      <c r="AC1077" s="10"/>
      <c r="AD1077" s="10"/>
      <c r="AE1077" s="10"/>
    </row>
    <row r="1078" spans="1:31" x14ac:dyDescent="0.25">
      <c r="A1078" s="10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  <c r="AA1078" s="10"/>
      <c r="AB1078" s="10"/>
      <c r="AC1078" s="10"/>
      <c r="AD1078" s="10"/>
      <c r="AE1078" s="10"/>
    </row>
    <row r="1079" spans="1:31" x14ac:dyDescent="0.25">
      <c r="A1079" s="10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  <c r="AA1079" s="10"/>
      <c r="AB1079" s="10"/>
      <c r="AC1079" s="10"/>
      <c r="AD1079" s="10"/>
      <c r="AE1079" s="10"/>
    </row>
    <row r="1080" spans="1:31" x14ac:dyDescent="0.25">
      <c r="A1080" s="10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  <c r="AA1080" s="10"/>
      <c r="AB1080" s="10"/>
      <c r="AC1080" s="10"/>
      <c r="AD1080" s="10"/>
      <c r="AE1080" s="10"/>
    </row>
    <row r="1081" spans="1:31" x14ac:dyDescent="0.25">
      <c r="A1081" s="10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  <c r="AA1081" s="10"/>
      <c r="AB1081" s="10"/>
      <c r="AC1081" s="10"/>
      <c r="AD1081" s="10"/>
      <c r="AE1081" s="10"/>
    </row>
    <row r="1082" spans="1:31" x14ac:dyDescent="0.25">
      <c r="A1082" s="10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  <c r="AA1082" s="10"/>
      <c r="AB1082" s="10"/>
      <c r="AC1082" s="10"/>
      <c r="AD1082" s="10"/>
      <c r="AE1082" s="10"/>
    </row>
    <row r="1083" spans="1:31" x14ac:dyDescent="0.25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</row>
    <row r="1084" spans="1:31" x14ac:dyDescent="0.25">
      <c r="A1084" s="10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  <c r="AA1084" s="10"/>
      <c r="AB1084" s="10"/>
      <c r="AC1084" s="10"/>
      <c r="AD1084" s="10"/>
      <c r="AE1084" s="10"/>
    </row>
    <row r="1085" spans="1:31" x14ac:dyDescent="0.25">
      <c r="A1085" s="10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  <c r="AA1085" s="10"/>
      <c r="AB1085" s="10"/>
      <c r="AC1085" s="10"/>
      <c r="AD1085" s="10"/>
      <c r="AE1085" s="10"/>
    </row>
    <row r="1086" spans="1:31" x14ac:dyDescent="0.25">
      <c r="A1086" s="10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  <c r="AA1086" s="10"/>
      <c r="AB1086" s="10"/>
      <c r="AC1086" s="10"/>
      <c r="AD1086" s="10"/>
      <c r="AE1086" s="10"/>
    </row>
    <row r="1087" spans="1:31" x14ac:dyDescent="0.25">
      <c r="A1087" s="10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  <c r="AA1087" s="10"/>
      <c r="AB1087" s="10"/>
      <c r="AC1087" s="10"/>
      <c r="AD1087" s="10"/>
      <c r="AE1087" s="10"/>
    </row>
    <row r="1088" spans="1:31" x14ac:dyDescent="0.25">
      <c r="A1088" s="10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  <c r="AA1088" s="10"/>
      <c r="AB1088" s="10"/>
      <c r="AC1088" s="10"/>
      <c r="AD1088" s="10"/>
      <c r="AE1088" s="10"/>
    </row>
    <row r="1089" spans="1:31" x14ac:dyDescent="0.25">
      <c r="A1089" s="10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  <c r="AA1089" s="10"/>
      <c r="AB1089" s="10"/>
      <c r="AC1089" s="10"/>
      <c r="AD1089" s="10"/>
      <c r="AE1089" s="10"/>
    </row>
    <row r="1090" spans="1:31" x14ac:dyDescent="0.25">
      <c r="A1090" s="10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  <c r="AA1090" s="10"/>
      <c r="AB1090" s="10"/>
      <c r="AC1090" s="10"/>
      <c r="AD1090" s="10"/>
      <c r="AE1090" s="10"/>
    </row>
    <row r="1091" spans="1:31" x14ac:dyDescent="0.25">
      <c r="A1091" s="10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  <c r="AA1091" s="10"/>
      <c r="AB1091" s="10"/>
      <c r="AC1091" s="10"/>
      <c r="AD1091" s="10"/>
      <c r="AE1091" s="10"/>
    </row>
    <row r="1092" spans="1:31" x14ac:dyDescent="0.25">
      <c r="A1092" s="10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  <c r="AA1092" s="10"/>
      <c r="AB1092" s="10"/>
      <c r="AC1092" s="10"/>
      <c r="AD1092" s="10"/>
      <c r="AE1092" s="10"/>
    </row>
    <row r="1093" spans="1:31" x14ac:dyDescent="0.25">
      <c r="A1093" s="10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  <c r="AA1093" s="10"/>
      <c r="AB1093" s="10"/>
      <c r="AC1093" s="10"/>
      <c r="AD1093" s="10"/>
      <c r="AE1093" s="10"/>
    </row>
    <row r="1094" spans="1:31" x14ac:dyDescent="0.25">
      <c r="A1094" s="10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  <c r="AA1094" s="10"/>
      <c r="AB1094" s="10"/>
      <c r="AC1094" s="10"/>
      <c r="AD1094" s="10"/>
      <c r="AE1094" s="10"/>
    </row>
    <row r="1095" spans="1:31" x14ac:dyDescent="0.25">
      <c r="A1095" s="10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  <c r="AA1095" s="10"/>
      <c r="AB1095" s="10"/>
      <c r="AC1095" s="10"/>
      <c r="AD1095" s="10"/>
      <c r="AE1095" s="10"/>
    </row>
    <row r="1096" spans="1:31" x14ac:dyDescent="0.25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</row>
    <row r="1097" spans="1:31" x14ac:dyDescent="0.25">
      <c r="A1097" s="10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  <c r="AA1097" s="10"/>
      <c r="AB1097" s="10"/>
      <c r="AC1097" s="10"/>
      <c r="AD1097" s="10"/>
      <c r="AE1097" s="10"/>
    </row>
    <row r="1098" spans="1:31" x14ac:dyDescent="0.25">
      <c r="A1098" s="10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</row>
    <row r="1099" spans="1:31" x14ac:dyDescent="0.25">
      <c r="A1099" s="10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  <c r="AA1099" s="10"/>
      <c r="AB1099" s="10"/>
      <c r="AC1099" s="10"/>
      <c r="AD1099" s="10"/>
      <c r="AE1099" s="10"/>
    </row>
    <row r="1100" spans="1:31" x14ac:dyDescent="0.25">
      <c r="A1100" s="10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  <c r="AA1100" s="10"/>
      <c r="AB1100" s="10"/>
      <c r="AC1100" s="10"/>
      <c r="AD1100" s="10"/>
      <c r="AE1100" s="10"/>
    </row>
    <row r="1101" spans="1:31" x14ac:dyDescent="0.25">
      <c r="A1101" s="10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  <c r="AA1101" s="10"/>
      <c r="AB1101" s="10"/>
      <c r="AC1101" s="10"/>
      <c r="AD1101" s="10"/>
      <c r="AE1101" s="10"/>
    </row>
    <row r="1102" spans="1:31" x14ac:dyDescent="0.25">
      <c r="A1102" s="10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  <c r="AA1102" s="10"/>
      <c r="AB1102" s="10"/>
      <c r="AC1102" s="10"/>
      <c r="AD1102" s="10"/>
      <c r="AE1102" s="10"/>
    </row>
    <row r="1103" spans="1:31" x14ac:dyDescent="0.25">
      <c r="A1103" s="10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  <c r="AA1103" s="10"/>
      <c r="AB1103" s="10"/>
      <c r="AC1103" s="10"/>
      <c r="AD1103" s="10"/>
      <c r="AE1103" s="10"/>
    </row>
    <row r="1104" spans="1:31" x14ac:dyDescent="0.25">
      <c r="A1104" s="10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  <c r="AA1104" s="10"/>
      <c r="AB1104" s="10"/>
      <c r="AC1104" s="10"/>
      <c r="AD1104" s="10"/>
      <c r="AE1104" s="10"/>
    </row>
    <row r="1105" spans="1:31" x14ac:dyDescent="0.25">
      <c r="A1105" s="10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  <c r="AA1105" s="10"/>
      <c r="AB1105" s="10"/>
      <c r="AC1105" s="10"/>
      <c r="AD1105" s="10"/>
      <c r="AE1105" s="10"/>
    </row>
    <row r="1106" spans="1:31" x14ac:dyDescent="0.25">
      <c r="A1106" s="10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  <c r="AA1106" s="10"/>
      <c r="AB1106" s="10"/>
      <c r="AC1106" s="10"/>
      <c r="AD1106" s="10"/>
      <c r="AE1106" s="10"/>
    </row>
    <row r="1107" spans="1:31" x14ac:dyDescent="0.25">
      <c r="A1107" s="10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  <c r="AA1107" s="10"/>
      <c r="AB1107" s="10"/>
      <c r="AC1107" s="10"/>
      <c r="AD1107" s="10"/>
      <c r="AE1107" s="10"/>
    </row>
    <row r="1108" spans="1:31" x14ac:dyDescent="0.25">
      <c r="A1108" s="10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  <c r="AA1108" s="10"/>
      <c r="AB1108" s="10"/>
      <c r="AC1108" s="10"/>
      <c r="AD1108" s="10"/>
      <c r="AE1108" s="10"/>
    </row>
    <row r="1109" spans="1:31" x14ac:dyDescent="0.25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</row>
    <row r="1110" spans="1:31" x14ac:dyDescent="0.25">
      <c r="A1110" s="10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  <c r="AA1110" s="10"/>
      <c r="AB1110" s="10"/>
      <c r="AC1110" s="10"/>
      <c r="AD1110" s="10"/>
      <c r="AE1110" s="10"/>
    </row>
    <row r="1111" spans="1:31" x14ac:dyDescent="0.25">
      <c r="A1111" s="10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  <c r="AA1111" s="10"/>
      <c r="AB1111" s="10"/>
      <c r="AC1111" s="10"/>
      <c r="AD1111" s="10"/>
      <c r="AE1111" s="10"/>
    </row>
    <row r="1112" spans="1:31" x14ac:dyDescent="0.25">
      <c r="A1112" s="10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  <c r="AA1112" s="10"/>
      <c r="AB1112" s="10"/>
      <c r="AC1112" s="10"/>
      <c r="AD1112" s="10"/>
      <c r="AE1112" s="10"/>
    </row>
    <row r="1113" spans="1:31" x14ac:dyDescent="0.25">
      <c r="A1113" s="10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  <c r="AA1113" s="10"/>
      <c r="AB1113" s="10"/>
      <c r="AC1113" s="10"/>
      <c r="AD1113" s="10"/>
      <c r="AE1113" s="10"/>
    </row>
    <row r="1114" spans="1:31" x14ac:dyDescent="0.25">
      <c r="A1114" s="10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  <c r="AA1114" s="10"/>
      <c r="AB1114" s="10"/>
      <c r="AC1114" s="10"/>
      <c r="AD1114" s="10"/>
      <c r="AE1114" s="10"/>
    </row>
    <row r="1115" spans="1:31" x14ac:dyDescent="0.25">
      <c r="A1115" s="10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  <c r="AA1115" s="10"/>
      <c r="AB1115" s="10"/>
      <c r="AC1115" s="10"/>
      <c r="AD1115" s="10"/>
      <c r="AE1115" s="10"/>
    </row>
    <row r="1116" spans="1:31" x14ac:dyDescent="0.25">
      <c r="A1116" s="10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  <c r="AA1116" s="10"/>
      <c r="AB1116" s="10"/>
      <c r="AC1116" s="10"/>
      <c r="AD1116" s="10"/>
      <c r="AE1116" s="10"/>
    </row>
    <row r="1117" spans="1:31" x14ac:dyDescent="0.25">
      <c r="A1117" s="10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  <c r="AA1117" s="10"/>
      <c r="AB1117" s="10"/>
      <c r="AC1117" s="10"/>
      <c r="AD1117" s="10"/>
      <c r="AE1117" s="10"/>
    </row>
    <row r="1118" spans="1:31" x14ac:dyDescent="0.25">
      <c r="A1118" s="10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  <c r="AA1118" s="10"/>
      <c r="AB1118" s="10"/>
      <c r="AC1118" s="10"/>
      <c r="AD1118" s="10"/>
      <c r="AE1118" s="10"/>
    </row>
    <row r="1119" spans="1:31" x14ac:dyDescent="0.25">
      <c r="A1119" s="10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  <c r="AA1119" s="10"/>
      <c r="AB1119" s="10"/>
      <c r="AC1119" s="10"/>
      <c r="AD1119" s="10"/>
      <c r="AE1119" s="10"/>
    </row>
    <row r="1120" spans="1:31" x14ac:dyDescent="0.25">
      <c r="A1120" s="10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  <c r="AA1120" s="10"/>
      <c r="AB1120" s="10"/>
      <c r="AC1120" s="10"/>
      <c r="AD1120" s="10"/>
      <c r="AE1120" s="10"/>
    </row>
    <row r="1121" spans="1:31" x14ac:dyDescent="0.25">
      <c r="A1121" s="10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  <c r="AA1121" s="10"/>
      <c r="AB1121" s="10"/>
      <c r="AC1121" s="10"/>
      <c r="AD1121" s="10"/>
      <c r="AE1121" s="10"/>
    </row>
    <row r="1122" spans="1:31" x14ac:dyDescent="0.25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</row>
    <row r="1123" spans="1:31" x14ac:dyDescent="0.25">
      <c r="A1123" s="10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  <c r="AA1123" s="10"/>
      <c r="AB1123" s="10"/>
      <c r="AC1123" s="10"/>
      <c r="AD1123" s="10"/>
      <c r="AE1123" s="10"/>
    </row>
    <row r="1124" spans="1:31" x14ac:dyDescent="0.25">
      <c r="A1124" s="10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  <c r="AA1124" s="10"/>
      <c r="AB1124" s="10"/>
      <c r="AC1124" s="10"/>
      <c r="AD1124" s="10"/>
      <c r="AE1124" s="10"/>
    </row>
    <row r="1125" spans="1:31" x14ac:dyDescent="0.25">
      <c r="A1125" s="10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  <c r="AA1125" s="10"/>
      <c r="AB1125" s="10"/>
      <c r="AC1125" s="10"/>
      <c r="AD1125" s="10"/>
      <c r="AE1125" s="10"/>
    </row>
    <row r="1126" spans="1:31" x14ac:dyDescent="0.25">
      <c r="A1126" s="10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  <c r="AA1126" s="10"/>
      <c r="AB1126" s="10"/>
      <c r="AC1126" s="10"/>
      <c r="AD1126" s="10"/>
      <c r="AE1126" s="10"/>
    </row>
    <row r="1127" spans="1:31" x14ac:dyDescent="0.25">
      <c r="A1127" s="10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  <c r="AA1127" s="10"/>
      <c r="AB1127" s="10"/>
      <c r="AC1127" s="10"/>
      <c r="AD1127" s="10"/>
      <c r="AE1127" s="10"/>
    </row>
    <row r="1128" spans="1:31" x14ac:dyDescent="0.25">
      <c r="A1128" s="10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  <c r="AA1128" s="10"/>
      <c r="AB1128" s="10"/>
      <c r="AC1128" s="10"/>
      <c r="AD1128" s="10"/>
      <c r="AE1128" s="10"/>
    </row>
    <row r="1129" spans="1:31" x14ac:dyDescent="0.25">
      <c r="A1129" s="10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  <c r="AA1129" s="10"/>
      <c r="AB1129" s="10"/>
      <c r="AC1129" s="10"/>
      <c r="AD1129" s="10"/>
      <c r="AE1129" s="10"/>
    </row>
    <row r="1130" spans="1:31" x14ac:dyDescent="0.25">
      <c r="A1130" s="10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  <c r="AA1130" s="10"/>
      <c r="AB1130" s="10"/>
      <c r="AC1130" s="10"/>
      <c r="AD1130" s="10"/>
      <c r="AE1130" s="10"/>
    </row>
    <row r="1131" spans="1:31" x14ac:dyDescent="0.25">
      <c r="A1131" s="10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  <c r="AA1131" s="10"/>
      <c r="AB1131" s="10"/>
      <c r="AC1131" s="10"/>
      <c r="AD1131" s="10"/>
      <c r="AE1131" s="10"/>
    </row>
    <row r="1132" spans="1:31" x14ac:dyDescent="0.25">
      <c r="A1132" s="10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  <c r="AA1132" s="10"/>
      <c r="AB1132" s="10"/>
      <c r="AC1132" s="10"/>
      <c r="AD1132" s="10"/>
      <c r="AE1132" s="10"/>
    </row>
    <row r="1133" spans="1:31" x14ac:dyDescent="0.25">
      <c r="A1133" s="10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  <c r="AA1133" s="10"/>
      <c r="AB1133" s="10"/>
      <c r="AC1133" s="10"/>
      <c r="AD1133" s="10"/>
      <c r="AE1133" s="10"/>
    </row>
    <row r="1134" spans="1:31" x14ac:dyDescent="0.25">
      <c r="A1134" s="10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  <c r="AA1134" s="10"/>
      <c r="AB1134" s="10"/>
      <c r="AC1134" s="10"/>
      <c r="AD1134" s="10"/>
      <c r="AE1134" s="10"/>
    </row>
    <row r="1135" spans="1:31" x14ac:dyDescent="0.25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</row>
    <row r="1136" spans="1:31" x14ac:dyDescent="0.25">
      <c r="A1136" s="10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  <c r="AA1136" s="10"/>
      <c r="AB1136" s="10"/>
      <c r="AC1136" s="10"/>
      <c r="AD1136" s="10"/>
      <c r="AE1136" s="10"/>
    </row>
    <row r="1137" spans="1:31" x14ac:dyDescent="0.25">
      <c r="A1137" s="10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</row>
    <row r="1138" spans="1:31" x14ac:dyDescent="0.25">
      <c r="A1138" s="10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  <c r="AA1138" s="10"/>
      <c r="AB1138" s="10"/>
      <c r="AC1138" s="10"/>
      <c r="AD1138" s="10"/>
      <c r="AE1138" s="10"/>
    </row>
    <row r="1139" spans="1:31" x14ac:dyDescent="0.25">
      <c r="A1139" s="10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  <c r="AA1139" s="10"/>
      <c r="AB1139" s="10"/>
      <c r="AC1139" s="10"/>
      <c r="AD1139" s="10"/>
      <c r="AE1139" s="10"/>
    </row>
    <row r="1140" spans="1:31" x14ac:dyDescent="0.25">
      <c r="A1140" s="10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  <c r="AA1140" s="10"/>
      <c r="AB1140" s="10"/>
      <c r="AC1140" s="10"/>
      <c r="AD1140" s="10"/>
      <c r="AE1140" s="10"/>
    </row>
    <row r="1141" spans="1:31" x14ac:dyDescent="0.25">
      <c r="A1141" s="10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  <c r="AA1141" s="10"/>
      <c r="AB1141" s="10"/>
      <c r="AC1141" s="10"/>
      <c r="AD1141" s="10"/>
      <c r="AE1141" s="10"/>
    </row>
    <row r="1142" spans="1:31" x14ac:dyDescent="0.25">
      <c r="A1142" s="10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  <c r="AA1142" s="10"/>
      <c r="AB1142" s="10"/>
      <c r="AC1142" s="10"/>
      <c r="AD1142" s="10"/>
      <c r="AE1142" s="10"/>
    </row>
    <row r="1143" spans="1:31" x14ac:dyDescent="0.25">
      <c r="A1143" s="10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  <c r="AA1143" s="10"/>
      <c r="AB1143" s="10"/>
      <c r="AC1143" s="10"/>
      <c r="AD1143" s="10"/>
      <c r="AE1143" s="10"/>
    </row>
    <row r="1144" spans="1:31" x14ac:dyDescent="0.25">
      <c r="A1144" s="10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  <c r="AA1144" s="10"/>
      <c r="AB1144" s="10"/>
      <c r="AC1144" s="10"/>
      <c r="AD1144" s="10"/>
      <c r="AE1144" s="10"/>
    </row>
    <row r="1145" spans="1:31" x14ac:dyDescent="0.25">
      <c r="A1145" s="10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  <c r="AA1145" s="10"/>
      <c r="AB1145" s="10"/>
      <c r="AC1145" s="10"/>
      <c r="AD1145" s="10"/>
      <c r="AE1145" s="10"/>
    </row>
    <row r="1146" spans="1:31" x14ac:dyDescent="0.25">
      <c r="A1146" s="10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  <c r="AA1146" s="10"/>
      <c r="AB1146" s="10"/>
      <c r="AC1146" s="10"/>
      <c r="AD1146" s="10"/>
      <c r="AE1146" s="10"/>
    </row>
    <row r="1147" spans="1:31" x14ac:dyDescent="0.25">
      <c r="A1147" s="10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  <c r="AA1147" s="10"/>
      <c r="AB1147" s="10"/>
      <c r="AC1147" s="10"/>
      <c r="AD1147" s="10"/>
      <c r="AE1147" s="10"/>
    </row>
    <row r="1148" spans="1:31" x14ac:dyDescent="0.25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</row>
    <row r="1149" spans="1:31" x14ac:dyDescent="0.25">
      <c r="A1149" s="10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  <c r="AA1149" s="10"/>
      <c r="AB1149" s="10"/>
      <c r="AC1149" s="10"/>
      <c r="AD1149" s="10"/>
      <c r="AE1149" s="10"/>
    </row>
    <row r="1150" spans="1:31" x14ac:dyDescent="0.25">
      <c r="A1150" s="10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  <c r="AA1150" s="10"/>
      <c r="AB1150" s="10"/>
      <c r="AC1150" s="10"/>
      <c r="AD1150" s="10"/>
      <c r="AE1150" s="10"/>
    </row>
    <row r="1151" spans="1:31" x14ac:dyDescent="0.25">
      <c r="A1151" s="10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  <c r="AA1151" s="10"/>
      <c r="AB1151" s="10"/>
      <c r="AC1151" s="10"/>
      <c r="AD1151" s="10"/>
      <c r="AE1151" s="10"/>
    </row>
    <row r="1152" spans="1:31" x14ac:dyDescent="0.25">
      <c r="A1152" s="10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  <c r="AA1152" s="10"/>
      <c r="AB1152" s="10"/>
      <c r="AC1152" s="10"/>
      <c r="AD1152" s="10"/>
      <c r="AE1152" s="10"/>
    </row>
    <row r="1153" spans="1:31" x14ac:dyDescent="0.25">
      <c r="A1153" s="10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  <c r="AA1153" s="10"/>
      <c r="AB1153" s="10"/>
      <c r="AC1153" s="10"/>
      <c r="AD1153" s="10"/>
      <c r="AE1153" s="10"/>
    </row>
    <row r="1154" spans="1:31" x14ac:dyDescent="0.25">
      <c r="A1154" s="10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  <c r="AA1154" s="10"/>
      <c r="AB1154" s="10"/>
      <c r="AC1154" s="10"/>
      <c r="AD1154" s="10"/>
      <c r="AE1154" s="10"/>
    </row>
    <row r="1155" spans="1:31" x14ac:dyDescent="0.25">
      <c r="A1155" s="10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  <c r="AA1155" s="10"/>
      <c r="AB1155" s="10"/>
      <c r="AC1155" s="10"/>
      <c r="AD1155" s="10"/>
      <c r="AE1155" s="10"/>
    </row>
    <row r="1156" spans="1:31" x14ac:dyDescent="0.25">
      <c r="A1156" s="10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  <c r="AA1156" s="10"/>
      <c r="AB1156" s="10"/>
      <c r="AC1156" s="10"/>
      <c r="AD1156" s="10"/>
      <c r="AE1156" s="10"/>
    </row>
    <row r="1157" spans="1:31" x14ac:dyDescent="0.25">
      <c r="A1157" s="10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  <c r="AA1157" s="10"/>
      <c r="AB1157" s="10"/>
      <c r="AC1157" s="10"/>
      <c r="AD1157" s="10"/>
      <c r="AE1157" s="10"/>
    </row>
    <row r="1158" spans="1:31" x14ac:dyDescent="0.25">
      <c r="A1158" s="10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</row>
    <row r="1159" spans="1:31" x14ac:dyDescent="0.25">
      <c r="A1159" s="10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</row>
    <row r="1160" spans="1:31" x14ac:dyDescent="0.25">
      <c r="A1160" s="10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</row>
    <row r="1161" spans="1:31" x14ac:dyDescent="0.25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</row>
    <row r="1162" spans="1:31" x14ac:dyDescent="0.25">
      <c r="A1162" s="10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</row>
    <row r="1163" spans="1:31" x14ac:dyDescent="0.25">
      <c r="A1163" s="10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</row>
    <row r="1164" spans="1:31" x14ac:dyDescent="0.25">
      <c r="A1164" s="10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</row>
    <row r="1165" spans="1:31" x14ac:dyDescent="0.25">
      <c r="A1165" s="10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</row>
    <row r="1166" spans="1:31" x14ac:dyDescent="0.25">
      <c r="A1166" s="10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</row>
    <row r="1167" spans="1:31" x14ac:dyDescent="0.25">
      <c r="A1167" s="10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</row>
    <row r="1168" spans="1:31" x14ac:dyDescent="0.25">
      <c r="A1168" s="10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</row>
    <row r="1169" spans="1:31" x14ac:dyDescent="0.25">
      <c r="A1169" s="10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</row>
    <row r="1170" spans="1:31" x14ac:dyDescent="0.25">
      <c r="A1170" s="10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</row>
    <row r="1171" spans="1:31" x14ac:dyDescent="0.25">
      <c r="A1171" s="10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</row>
    <row r="1172" spans="1:31" x14ac:dyDescent="0.25">
      <c r="A1172" s="10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</row>
    <row r="1173" spans="1:31" x14ac:dyDescent="0.25">
      <c r="A1173" s="10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</row>
    <row r="1174" spans="1:31" x14ac:dyDescent="0.25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</row>
    <row r="1175" spans="1:31" x14ac:dyDescent="0.25">
      <c r="A1175" s="10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</row>
    <row r="1176" spans="1:31" x14ac:dyDescent="0.25">
      <c r="A1176" s="10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</row>
    <row r="1177" spans="1:31" x14ac:dyDescent="0.25">
      <c r="A1177" s="10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</row>
    <row r="1178" spans="1:31" x14ac:dyDescent="0.25">
      <c r="A1178" s="10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</row>
    <row r="1179" spans="1:31" x14ac:dyDescent="0.25">
      <c r="A1179" s="10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</row>
    <row r="1180" spans="1:31" x14ac:dyDescent="0.25">
      <c r="A1180" s="10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</row>
    <row r="1181" spans="1:31" x14ac:dyDescent="0.25">
      <c r="A1181" s="10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</row>
    <row r="1182" spans="1:31" x14ac:dyDescent="0.25">
      <c r="A1182" s="10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</row>
    <row r="1183" spans="1:31" x14ac:dyDescent="0.25">
      <c r="A1183" s="10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</row>
    <row r="1184" spans="1:31" x14ac:dyDescent="0.25">
      <c r="A1184" s="10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</row>
    <row r="1185" spans="1:31" x14ac:dyDescent="0.25">
      <c r="A1185" s="10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</row>
    <row r="1186" spans="1:31" x14ac:dyDescent="0.25">
      <c r="A1186" s="10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</row>
    <row r="1187" spans="1:31" x14ac:dyDescent="0.25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</row>
    <row r="1188" spans="1:31" x14ac:dyDescent="0.25">
      <c r="A1188" s="10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</row>
    <row r="1189" spans="1:31" x14ac:dyDescent="0.25">
      <c r="A1189" s="10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</row>
    <row r="1190" spans="1:31" x14ac:dyDescent="0.25">
      <c r="A1190" s="10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</row>
    <row r="1191" spans="1:31" x14ac:dyDescent="0.25">
      <c r="A1191" s="10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</row>
    <row r="1192" spans="1:31" x14ac:dyDescent="0.25">
      <c r="A1192" s="10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</row>
    <row r="1193" spans="1:31" x14ac:dyDescent="0.25">
      <c r="A1193" s="10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</row>
    <row r="1194" spans="1:31" x14ac:dyDescent="0.25">
      <c r="A1194" s="10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</row>
    <row r="1195" spans="1:31" x14ac:dyDescent="0.25">
      <c r="A1195" s="10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</row>
    <row r="1196" spans="1:31" x14ac:dyDescent="0.25">
      <c r="A1196" s="10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</row>
    <row r="1197" spans="1:31" x14ac:dyDescent="0.25">
      <c r="A1197" s="10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</row>
    <row r="1198" spans="1:31" x14ac:dyDescent="0.25">
      <c r="A1198" s="10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</row>
    <row r="1199" spans="1:31" x14ac:dyDescent="0.25">
      <c r="A1199" s="10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</row>
    <row r="1200" spans="1:31" x14ac:dyDescent="0.25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</row>
    <row r="1201" spans="1:31" x14ac:dyDescent="0.25">
      <c r="A1201" s="10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</row>
    <row r="1202" spans="1:31" x14ac:dyDescent="0.25">
      <c r="A1202" s="10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</row>
    <row r="1203" spans="1:31" x14ac:dyDescent="0.25">
      <c r="A1203" s="10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</row>
    <row r="1204" spans="1:31" x14ac:dyDescent="0.25">
      <c r="A1204" s="10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</row>
    <row r="1205" spans="1:31" x14ac:dyDescent="0.25">
      <c r="A1205" s="10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</row>
    <row r="1206" spans="1:31" x14ac:dyDescent="0.25">
      <c r="A1206" s="10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</row>
    <row r="1207" spans="1:31" x14ac:dyDescent="0.25">
      <c r="A1207" s="10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</row>
    <row r="1208" spans="1:31" x14ac:dyDescent="0.25">
      <c r="A1208" s="10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</row>
    <row r="1209" spans="1:31" x14ac:dyDescent="0.25">
      <c r="A1209" s="10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</row>
    <row r="1210" spans="1:31" x14ac:dyDescent="0.25">
      <c r="A1210" s="10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</row>
    <row r="1211" spans="1:31" x14ac:dyDescent="0.25">
      <c r="A1211" s="10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</row>
    <row r="1212" spans="1:31" x14ac:dyDescent="0.25">
      <c r="A1212" s="10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</row>
    <row r="1213" spans="1:31" x14ac:dyDescent="0.25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</row>
    <row r="1214" spans="1:31" x14ac:dyDescent="0.25">
      <c r="A1214" s="10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</row>
    <row r="1215" spans="1:31" x14ac:dyDescent="0.25">
      <c r="A1215" s="10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</row>
    <row r="1216" spans="1:31" x14ac:dyDescent="0.25">
      <c r="A1216" s="10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</row>
    <row r="1217" spans="1:31" x14ac:dyDescent="0.25">
      <c r="A1217" s="10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</row>
    <row r="1218" spans="1:31" x14ac:dyDescent="0.25">
      <c r="A1218" s="10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</row>
    <row r="1219" spans="1:31" x14ac:dyDescent="0.25">
      <c r="A1219" s="10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</row>
    <row r="1220" spans="1:31" x14ac:dyDescent="0.25">
      <c r="A1220" s="10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</row>
    <row r="1221" spans="1:31" x14ac:dyDescent="0.25">
      <c r="A1221" s="10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</row>
    <row r="1222" spans="1:31" x14ac:dyDescent="0.25">
      <c r="A1222" s="10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</row>
    <row r="1223" spans="1:31" x14ac:dyDescent="0.25">
      <c r="A1223" s="10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</row>
    <row r="1224" spans="1:31" x14ac:dyDescent="0.25">
      <c r="A1224" s="10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</row>
    <row r="1225" spans="1:31" x14ac:dyDescent="0.25">
      <c r="A1225" s="10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</row>
    <row r="1226" spans="1:31" x14ac:dyDescent="0.25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</row>
    <row r="1227" spans="1:31" x14ac:dyDescent="0.25">
      <c r="A1227" s="10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</row>
    <row r="1228" spans="1:31" x14ac:dyDescent="0.25">
      <c r="A1228" s="10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</row>
    <row r="1229" spans="1:31" x14ac:dyDescent="0.25">
      <c r="A1229" s="10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  <c r="AA1229" s="10"/>
      <c r="AB1229" s="10"/>
      <c r="AC1229" s="10"/>
      <c r="AD1229" s="10"/>
      <c r="AE1229" s="10"/>
    </row>
    <row r="1230" spans="1:31" x14ac:dyDescent="0.25">
      <c r="A1230" s="10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  <c r="AA1230" s="10"/>
      <c r="AB1230" s="10"/>
      <c r="AC1230" s="10"/>
      <c r="AD1230" s="10"/>
      <c r="AE1230" s="10"/>
    </row>
    <row r="1231" spans="1:31" x14ac:dyDescent="0.25">
      <c r="A1231" s="10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  <c r="AA1231" s="10"/>
      <c r="AB1231" s="10"/>
      <c r="AC1231" s="10"/>
      <c r="AD1231" s="10"/>
      <c r="AE1231" s="10"/>
    </row>
    <row r="1232" spans="1:31" x14ac:dyDescent="0.25">
      <c r="A1232" s="10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  <c r="AA1232" s="10"/>
      <c r="AB1232" s="10"/>
      <c r="AC1232" s="10"/>
      <c r="AD1232" s="10"/>
      <c r="AE1232" s="10"/>
    </row>
    <row r="1233" spans="1:31" x14ac:dyDescent="0.25">
      <c r="A1233" s="10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  <c r="AA1233" s="10"/>
      <c r="AB1233" s="10"/>
      <c r="AC1233" s="10"/>
      <c r="AD1233" s="10"/>
      <c r="AE1233" s="10"/>
    </row>
    <row r="1234" spans="1:31" x14ac:dyDescent="0.25">
      <c r="A1234" s="10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  <c r="AA1234" s="10"/>
      <c r="AB1234" s="10"/>
      <c r="AC1234" s="10"/>
      <c r="AD1234" s="10"/>
      <c r="AE1234" s="10"/>
    </row>
    <row r="1235" spans="1:31" x14ac:dyDescent="0.25">
      <c r="A1235" s="10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  <c r="AA1235" s="10"/>
      <c r="AB1235" s="10"/>
      <c r="AC1235" s="10"/>
      <c r="AD1235" s="10"/>
      <c r="AE1235" s="10"/>
    </row>
    <row r="1236" spans="1:31" x14ac:dyDescent="0.25">
      <c r="A1236" s="10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  <c r="AA1236" s="10"/>
      <c r="AB1236" s="10"/>
      <c r="AC1236" s="10"/>
      <c r="AD1236" s="10"/>
      <c r="AE1236" s="10"/>
    </row>
    <row r="1237" spans="1:31" x14ac:dyDescent="0.25">
      <c r="A1237" s="10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  <c r="AA1237" s="10"/>
      <c r="AB1237" s="10"/>
      <c r="AC1237" s="10"/>
      <c r="AD1237" s="10"/>
      <c r="AE1237" s="10"/>
    </row>
    <row r="1238" spans="1:31" x14ac:dyDescent="0.25">
      <c r="A1238" s="10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  <c r="AA1238" s="10"/>
      <c r="AB1238" s="10"/>
      <c r="AC1238" s="10"/>
      <c r="AD1238" s="10"/>
      <c r="AE1238" s="10"/>
    </row>
    <row r="1239" spans="1:31" x14ac:dyDescent="0.25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</row>
    <row r="1240" spans="1:31" x14ac:dyDescent="0.25">
      <c r="A1240" s="10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  <c r="AA1240" s="10"/>
      <c r="AB1240" s="10"/>
      <c r="AC1240" s="10"/>
      <c r="AD1240" s="10"/>
      <c r="AE1240" s="10"/>
    </row>
    <row r="1241" spans="1:31" x14ac:dyDescent="0.25">
      <c r="A1241" s="10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  <c r="AA1241" s="10"/>
      <c r="AB1241" s="10"/>
      <c r="AC1241" s="10"/>
      <c r="AD1241" s="10"/>
      <c r="AE1241" s="10"/>
    </row>
    <row r="1242" spans="1:31" x14ac:dyDescent="0.25">
      <c r="A1242" s="10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  <c r="AA1242" s="10"/>
      <c r="AB1242" s="10"/>
      <c r="AC1242" s="10"/>
      <c r="AD1242" s="10"/>
      <c r="AE1242" s="10"/>
    </row>
    <row r="1243" spans="1:31" x14ac:dyDescent="0.25">
      <c r="A1243" s="10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  <c r="AA1243" s="10"/>
      <c r="AB1243" s="10"/>
      <c r="AC1243" s="10"/>
      <c r="AD1243" s="10"/>
      <c r="AE1243" s="10"/>
    </row>
    <row r="1244" spans="1:31" x14ac:dyDescent="0.25">
      <c r="A1244" s="10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  <c r="AA1244" s="10"/>
      <c r="AB1244" s="10"/>
      <c r="AC1244" s="10"/>
      <c r="AD1244" s="10"/>
      <c r="AE1244" s="10"/>
    </row>
    <row r="1245" spans="1:31" x14ac:dyDescent="0.25">
      <c r="A1245" s="10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  <c r="AA1245" s="10"/>
      <c r="AB1245" s="10"/>
      <c r="AC1245" s="10"/>
      <c r="AD1245" s="10"/>
      <c r="AE1245" s="10"/>
    </row>
    <row r="1246" spans="1:31" x14ac:dyDescent="0.25">
      <c r="A1246" s="10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  <c r="AA1246" s="10"/>
      <c r="AB1246" s="10"/>
      <c r="AC1246" s="10"/>
      <c r="AD1246" s="10"/>
      <c r="AE1246" s="10"/>
    </row>
    <row r="1247" spans="1:31" x14ac:dyDescent="0.25">
      <c r="A1247" s="10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  <c r="AA1247" s="10"/>
      <c r="AB1247" s="10"/>
      <c r="AC1247" s="10"/>
      <c r="AD1247" s="10"/>
      <c r="AE1247" s="10"/>
    </row>
    <row r="1248" spans="1:31" x14ac:dyDescent="0.25">
      <c r="A1248" s="10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  <c r="AA1248" s="10"/>
      <c r="AB1248" s="10"/>
      <c r="AC1248" s="10"/>
      <c r="AD1248" s="10"/>
      <c r="AE1248" s="10"/>
    </row>
    <row r="1249" spans="1:31" x14ac:dyDescent="0.25">
      <c r="A1249" s="10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  <c r="AA1249" s="10"/>
      <c r="AB1249" s="10"/>
      <c r="AC1249" s="10"/>
      <c r="AD1249" s="10"/>
      <c r="AE1249" s="10"/>
    </row>
    <row r="1250" spans="1:31" x14ac:dyDescent="0.25">
      <c r="A1250" s="10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  <c r="AA1250" s="10"/>
      <c r="AB1250" s="10"/>
      <c r="AC1250" s="10"/>
      <c r="AD1250" s="10"/>
      <c r="AE1250" s="10"/>
    </row>
    <row r="1251" spans="1:31" x14ac:dyDescent="0.25">
      <c r="A1251" s="10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  <c r="AA1251" s="10"/>
      <c r="AB1251" s="10"/>
      <c r="AC1251" s="10"/>
      <c r="AD1251" s="10"/>
      <c r="AE1251" s="10"/>
    </row>
    <row r="1252" spans="1:31" x14ac:dyDescent="0.25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</row>
    <row r="1253" spans="1:31" x14ac:dyDescent="0.25">
      <c r="A1253" s="10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  <c r="AA1253" s="10"/>
      <c r="AB1253" s="10"/>
      <c r="AC1253" s="10"/>
      <c r="AD1253" s="10"/>
      <c r="AE1253" s="10"/>
    </row>
    <row r="1254" spans="1:31" x14ac:dyDescent="0.25">
      <c r="A1254" s="10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</row>
    <row r="1255" spans="1:31" x14ac:dyDescent="0.25">
      <c r="A1255" s="10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  <c r="AA1255" s="10"/>
      <c r="AB1255" s="10"/>
      <c r="AC1255" s="10"/>
      <c r="AD1255" s="10"/>
      <c r="AE1255" s="10"/>
    </row>
    <row r="1256" spans="1:31" x14ac:dyDescent="0.25">
      <c r="A1256" s="10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  <c r="AA1256" s="10"/>
      <c r="AB1256" s="10"/>
      <c r="AC1256" s="10"/>
      <c r="AD1256" s="10"/>
      <c r="AE1256" s="10"/>
    </row>
    <row r="1257" spans="1:31" x14ac:dyDescent="0.25">
      <c r="A1257" s="10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  <c r="AA1257" s="10"/>
      <c r="AB1257" s="10"/>
      <c r="AC1257" s="10"/>
      <c r="AD1257" s="10"/>
      <c r="AE1257" s="10"/>
    </row>
    <row r="1258" spans="1:31" x14ac:dyDescent="0.25">
      <c r="A1258" s="10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  <c r="AA1258" s="10"/>
      <c r="AB1258" s="10"/>
      <c r="AC1258" s="10"/>
      <c r="AD1258" s="10"/>
      <c r="AE1258" s="10"/>
    </row>
    <row r="1259" spans="1:31" x14ac:dyDescent="0.25">
      <c r="A1259" s="10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  <c r="AA1259" s="10"/>
      <c r="AB1259" s="10"/>
      <c r="AC1259" s="10"/>
      <c r="AD1259" s="10"/>
      <c r="AE1259" s="10"/>
    </row>
    <row r="1260" spans="1:31" x14ac:dyDescent="0.25">
      <c r="A1260" s="10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  <c r="AA1260" s="10"/>
      <c r="AB1260" s="10"/>
      <c r="AC1260" s="10"/>
      <c r="AD1260" s="10"/>
      <c r="AE1260" s="10"/>
    </row>
    <row r="1261" spans="1:31" x14ac:dyDescent="0.25">
      <c r="A1261" s="10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  <c r="AA1261" s="10"/>
      <c r="AB1261" s="10"/>
      <c r="AC1261" s="10"/>
      <c r="AD1261" s="10"/>
      <c r="AE1261" s="10"/>
    </row>
    <row r="1262" spans="1:31" x14ac:dyDescent="0.25">
      <c r="A1262" s="10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  <c r="AA1262" s="10"/>
      <c r="AB1262" s="10"/>
      <c r="AC1262" s="10"/>
      <c r="AD1262" s="10"/>
      <c r="AE1262" s="10"/>
    </row>
    <row r="1263" spans="1:31" x14ac:dyDescent="0.25">
      <c r="A1263" s="10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  <c r="AA1263" s="10"/>
      <c r="AB1263" s="10"/>
      <c r="AC1263" s="10"/>
      <c r="AD1263" s="10"/>
      <c r="AE1263" s="10"/>
    </row>
    <row r="1264" spans="1:31" x14ac:dyDescent="0.25">
      <c r="A1264" s="10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  <c r="AA1264" s="10"/>
      <c r="AB1264" s="10"/>
      <c r="AC1264" s="10"/>
      <c r="AD1264" s="10"/>
      <c r="AE1264" s="10"/>
    </row>
    <row r="1265" spans="1:31" x14ac:dyDescent="0.25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</row>
    <row r="1266" spans="1:31" x14ac:dyDescent="0.25">
      <c r="A1266" s="10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  <c r="AA1266" s="10"/>
      <c r="AB1266" s="10"/>
      <c r="AC1266" s="10"/>
      <c r="AD1266" s="10"/>
      <c r="AE1266" s="10"/>
    </row>
    <row r="1267" spans="1:31" x14ac:dyDescent="0.25">
      <c r="A1267" s="10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  <c r="AA1267" s="10"/>
      <c r="AB1267" s="10"/>
      <c r="AC1267" s="10"/>
      <c r="AD1267" s="10"/>
      <c r="AE1267" s="10"/>
    </row>
    <row r="1268" spans="1:31" x14ac:dyDescent="0.25">
      <c r="A1268" s="10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  <c r="AA1268" s="10"/>
      <c r="AB1268" s="10"/>
      <c r="AC1268" s="10"/>
      <c r="AD1268" s="10"/>
      <c r="AE1268" s="10"/>
    </row>
    <row r="1269" spans="1:31" x14ac:dyDescent="0.25">
      <c r="A1269" s="10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  <c r="AA1269" s="10"/>
      <c r="AB1269" s="10"/>
      <c r="AC1269" s="10"/>
      <c r="AD1269" s="10"/>
      <c r="AE1269" s="10"/>
    </row>
    <row r="1270" spans="1:31" x14ac:dyDescent="0.25">
      <c r="A1270" s="10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  <c r="AA1270" s="10"/>
      <c r="AB1270" s="10"/>
      <c r="AC1270" s="10"/>
      <c r="AD1270" s="10"/>
      <c r="AE1270" s="10"/>
    </row>
    <row r="1271" spans="1:31" x14ac:dyDescent="0.25">
      <c r="A1271" s="10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  <c r="AA1271" s="10"/>
      <c r="AB1271" s="10"/>
      <c r="AC1271" s="10"/>
      <c r="AD1271" s="10"/>
      <c r="AE1271" s="10"/>
    </row>
    <row r="1272" spans="1:31" x14ac:dyDescent="0.25">
      <c r="A1272" s="10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  <c r="AA1272" s="10"/>
      <c r="AB1272" s="10"/>
      <c r="AC1272" s="10"/>
      <c r="AD1272" s="10"/>
      <c r="AE1272" s="10"/>
    </row>
    <row r="1273" spans="1:31" x14ac:dyDescent="0.25">
      <c r="A1273" s="10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  <c r="AA1273" s="10"/>
      <c r="AB1273" s="10"/>
      <c r="AC1273" s="10"/>
      <c r="AD1273" s="10"/>
      <c r="AE1273" s="10"/>
    </row>
    <row r="1274" spans="1:31" x14ac:dyDescent="0.25">
      <c r="A1274" s="10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  <c r="AA1274" s="10"/>
      <c r="AB1274" s="10"/>
      <c r="AC1274" s="10"/>
      <c r="AD1274" s="10"/>
      <c r="AE1274" s="10"/>
    </row>
    <row r="1275" spans="1:31" x14ac:dyDescent="0.25">
      <c r="A1275" s="10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  <c r="AA1275" s="10"/>
      <c r="AB1275" s="10"/>
      <c r="AC1275" s="10"/>
      <c r="AD1275" s="10"/>
      <c r="AE1275" s="10"/>
    </row>
    <row r="1276" spans="1:31" x14ac:dyDescent="0.25">
      <c r="A1276" s="10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  <c r="AA1276" s="10"/>
      <c r="AB1276" s="10"/>
      <c r="AC1276" s="10"/>
      <c r="AD1276" s="10"/>
      <c r="AE1276" s="10"/>
    </row>
    <row r="1277" spans="1:31" x14ac:dyDescent="0.25">
      <c r="A1277" s="10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  <c r="AA1277" s="10"/>
      <c r="AB1277" s="10"/>
      <c r="AC1277" s="10"/>
      <c r="AD1277" s="10"/>
      <c r="AE1277" s="10"/>
    </row>
    <row r="1278" spans="1:31" x14ac:dyDescent="0.25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</row>
    <row r="1279" spans="1:31" x14ac:dyDescent="0.25">
      <c r="A1279" s="10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  <c r="AA1279" s="10"/>
      <c r="AB1279" s="10"/>
      <c r="AC1279" s="10"/>
      <c r="AD1279" s="10"/>
      <c r="AE1279" s="10"/>
    </row>
    <row r="1280" spans="1:31" x14ac:dyDescent="0.25">
      <c r="A1280" s="10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  <c r="AA1280" s="10"/>
      <c r="AB1280" s="10"/>
      <c r="AC1280" s="10"/>
      <c r="AD1280" s="10"/>
      <c r="AE1280" s="10"/>
    </row>
    <row r="1281" spans="1:31" x14ac:dyDescent="0.25">
      <c r="A1281" s="10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  <c r="AA1281" s="10"/>
      <c r="AB1281" s="10"/>
      <c r="AC1281" s="10"/>
      <c r="AD1281" s="10"/>
      <c r="AE1281" s="10"/>
    </row>
    <row r="1282" spans="1:31" x14ac:dyDescent="0.25">
      <c r="A1282" s="10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  <c r="AA1282" s="10"/>
      <c r="AB1282" s="10"/>
      <c r="AC1282" s="10"/>
      <c r="AD1282" s="10"/>
      <c r="AE1282" s="10"/>
    </row>
    <row r="1283" spans="1:31" x14ac:dyDescent="0.25">
      <c r="A1283" s="10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  <c r="AA1283" s="10"/>
      <c r="AB1283" s="10"/>
      <c r="AC1283" s="10"/>
      <c r="AD1283" s="10"/>
      <c r="AE1283" s="10"/>
    </row>
    <row r="1284" spans="1:31" x14ac:dyDescent="0.25">
      <c r="A1284" s="10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  <c r="AA1284" s="10"/>
      <c r="AB1284" s="10"/>
      <c r="AC1284" s="10"/>
      <c r="AD1284" s="10"/>
      <c r="AE1284" s="10"/>
    </row>
    <row r="1285" spans="1:31" x14ac:dyDescent="0.25">
      <c r="A1285" s="10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  <c r="AA1285" s="10"/>
      <c r="AB1285" s="10"/>
      <c r="AC1285" s="10"/>
      <c r="AD1285" s="10"/>
      <c r="AE1285" s="10"/>
    </row>
    <row r="1286" spans="1:31" x14ac:dyDescent="0.25">
      <c r="A1286" s="10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  <c r="AA1286" s="10"/>
      <c r="AB1286" s="10"/>
      <c r="AC1286" s="10"/>
      <c r="AD1286" s="10"/>
      <c r="AE1286" s="10"/>
    </row>
    <row r="1287" spans="1:31" x14ac:dyDescent="0.25">
      <c r="A1287" s="10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  <c r="AA1287" s="10"/>
      <c r="AB1287" s="10"/>
      <c r="AC1287" s="10"/>
      <c r="AD1287" s="10"/>
      <c r="AE1287" s="10"/>
    </row>
    <row r="1288" spans="1:31" x14ac:dyDescent="0.25">
      <c r="A1288" s="10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  <c r="AA1288" s="10"/>
      <c r="AB1288" s="10"/>
      <c r="AC1288" s="10"/>
      <c r="AD1288" s="10"/>
      <c r="AE1288" s="10"/>
    </row>
    <row r="1289" spans="1:31" x14ac:dyDescent="0.25">
      <c r="A1289" s="10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  <c r="AA1289" s="10"/>
      <c r="AB1289" s="10"/>
      <c r="AC1289" s="10"/>
      <c r="AD1289" s="10"/>
      <c r="AE1289" s="10"/>
    </row>
    <row r="1290" spans="1:31" x14ac:dyDescent="0.25">
      <c r="A1290" s="10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  <c r="AA1290" s="10"/>
      <c r="AB1290" s="10"/>
      <c r="AC1290" s="10"/>
      <c r="AD1290" s="10"/>
      <c r="AE1290" s="10"/>
    </row>
    <row r="1291" spans="1:31" x14ac:dyDescent="0.25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</row>
    <row r="1292" spans="1:31" x14ac:dyDescent="0.25">
      <c r="A1292" s="10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  <c r="AA1292" s="10"/>
      <c r="AB1292" s="10"/>
      <c r="AC1292" s="10"/>
      <c r="AD1292" s="10"/>
      <c r="AE1292" s="10"/>
    </row>
    <row r="1293" spans="1:31" x14ac:dyDescent="0.25">
      <c r="A1293" s="10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</row>
    <row r="1294" spans="1:31" x14ac:dyDescent="0.25">
      <c r="A1294" s="10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  <c r="AA1294" s="10"/>
      <c r="AB1294" s="10"/>
      <c r="AC1294" s="10"/>
      <c r="AD1294" s="10"/>
      <c r="AE1294" s="10"/>
    </row>
    <row r="1295" spans="1:31" x14ac:dyDescent="0.25">
      <c r="A1295" s="10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  <c r="AA1295" s="10"/>
      <c r="AB1295" s="10"/>
      <c r="AC1295" s="10"/>
      <c r="AD1295" s="10"/>
      <c r="AE1295" s="10"/>
    </row>
    <row r="1296" spans="1:31" x14ac:dyDescent="0.25">
      <c r="A1296" s="10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  <c r="AA1296" s="10"/>
      <c r="AB1296" s="10"/>
      <c r="AC1296" s="10"/>
      <c r="AD1296" s="10"/>
      <c r="AE1296" s="10"/>
    </row>
    <row r="1297" spans="1:31" x14ac:dyDescent="0.25">
      <c r="A1297" s="10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  <c r="AA1297" s="10"/>
      <c r="AB1297" s="10"/>
      <c r="AC1297" s="10"/>
      <c r="AD1297" s="10"/>
      <c r="AE1297" s="10"/>
    </row>
    <row r="1298" spans="1:31" x14ac:dyDescent="0.25">
      <c r="A1298" s="10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  <c r="AA1298" s="10"/>
      <c r="AB1298" s="10"/>
      <c r="AC1298" s="10"/>
      <c r="AD1298" s="10"/>
      <c r="AE1298" s="10"/>
    </row>
    <row r="1299" spans="1:31" x14ac:dyDescent="0.25">
      <c r="A1299" s="10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  <c r="AA1299" s="10"/>
      <c r="AB1299" s="10"/>
      <c r="AC1299" s="10"/>
      <c r="AD1299" s="10"/>
      <c r="AE1299" s="10"/>
    </row>
    <row r="1300" spans="1:31" x14ac:dyDescent="0.25">
      <c r="A1300" s="10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  <c r="AA1300" s="10"/>
      <c r="AB1300" s="10"/>
      <c r="AC1300" s="10"/>
      <c r="AD1300" s="10"/>
      <c r="AE1300" s="10"/>
    </row>
    <row r="1301" spans="1:31" x14ac:dyDescent="0.25">
      <c r="A1301" s="10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  <c r="AA1301" s="10"/>
      <c r="AB1301" s="10"/>
      <c r="AC1301" s="10"/>
      <c r="AD1301" s="10"/>
      <c r="AE1301" s="10"/>
    </row>
    <row r="1302" spans="1:31" x14ac:dyDescent="0.25">
      <c r="A1302" s="10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  <c r="AA1302" s="10"/>
      <c r="AB1302" s="10"/>
      <c r="AC1302" s="10"/>
      <c r="AD1302" s="10"/>
      <c r="AE1302" s="10"/>
    </row>
    <row r="1303" spans="1:31" x14ac:dyDescent="0.25">
      <c r="A1303" s="10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  <c r="AA1303" s="10"/>
      <c r="AB1303" s="10"/>
      <c r="AC1303" s="10"/>
      <c r="AD1303" s="10"/>
      <c r="AE1303" s="10"/>
    </row>
    <row r="1304" spans="1:31" x14ac:dyDescent="0.25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</row>
    <row r="1305" spans="1:31" x14ac:dyDescent="0.25">
      <c r="A1305" s="10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  <c r="AA1305" s="10"/>
      <c r="AB1305" s="10"/>
      <c r="AC1305" s="10"/>
      <c r="AD1305" s="10"/>
      <c r="AE1305" s="10"/>
    </row>
    <row r="1306" spans="1:31" x14ac:dyDescent="0.25">
      <c r="A1306" s="10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  <c r="AA1306" s="10"/>
      <c r="AB1306" s="10"/>
      <c r="AC1306" s="10"/>
      <c r="AD1306" s="10"/>
      <c r="AE1306" s="10"/>
    </row>
    <row r="1307" spans="1:31" x14ac:dyDescent="0.25">
      <c r="A1307" s="10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  <c r="AA1307" s="10"/>
      <c r="AB1307" s="10"/>
      <c r="AC1307" s="10"/>
      <c r="AD1307" s="10"/>
      <c r="AE1307" s="10"/>
    </row>
    <row r="1308" spans="1:31" x14ac:dyDescent="0.25">
      <c r="A1308" s="10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  <c r="AA1308" s="10"/>
      <c r="AB1308" s="10"/>
      <c r="AC1308" s="10"/>
      <c r="AD1308" s="10"/>
      <c r="AE1308" s="10"/>
    </row>
    <row r="1309" spans="1:31" x14ac:dyDescent="0.25">
      <c r="A1309" s="10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  <c r="AA1309" s="10"/>
      <c r="AB1309" s="10"/>
      <c r="AC1309" s="10"/>
      <c r="AD1309" s="10"/>
      <c r="AE1309" s="10"/>
    </row>
    <row r="1310" spans="1:31" x14ac:dyDescent="0.25">
      <c r="A1310" s="10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  <c r="AA1310" s="10"/>
      <c r="AB1310" s="10"/>
      <c r="AC1310" s="10"/>
      <c r="AD1310" s="10"/>
      <c r="AE1310" s="10"/>
    </row>
    <row r="1311" spans="1:31" x14ac:dyDescent="0.25">
      <c r="A1311" s="10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  <c r="AA1311" s="10"/>
      <c r="AB1311" s="10"/>
      <c r="AC1311" s="10"/>
      <c r="AD1311" s="10"/>
      <c r="AE1311" s="10"/>
    </row>
    <row r="1312" spans="1:31" x14ac:dyDescent="0.25">
      <c r="A1312" s="10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  <c r="AA1312" s="10"/>
      <c r="AB1312" s="10"/>
      <c r="AC1312" s="10"/>
      <c r="AD1312" s="10"/>
      <c r="AE1312" s="10"/>
    </row>
    <row r="1313" spans="1:31" x14ac:dyDescent="0.25">
      <c r="A1313" s="10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  <c r="AA1313" s="10"/>
      <c r="AB1313" s="10"/>
      <c r="AC1313" s="10"/>
      <c r="AD1313" s="10"/>
      <c r="AE1313" s="10"/>
    </row>
    <row r="1314" spans="1:31" x14ac:dyDescent="0.25">
      <c r="A1314" s="10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  <c r="AA1314" s="10"/>
      <c r="AB1314" s="10"/>
      <c r="AC1314" s="10"/>
      <c r="AD1314" s="10"/>
      <c r="AE1314" s="10"/>
    </row>
    <row r="1315" spans="1:31" x14ac:dyDescent="0.25">
      <c r="A1315" s="10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  <c r="AA1315" s="10"/>
      <c r="AB1315" s="10"/>
      <c r="AC1315" s="10"/>
      <c r="AD1315" s="10"/>
      <c r="AE1315" s="10"/>
    </row>
    <row r="1316" spans="1:31" x14ac:dyDescent="0.25">
      <c r="A1316" s="10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  <c r="AA1316" s="10"/>
      <c r="AB1316" s="10"/>
      <c r="AC1316" s="10"/>
      <c r="AD1316" s="10"/>
      <c r="AE1316" s="10"/>
    </row>
    <row r="1317" spans="1:31" x14ac:dyDescent="0.25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</row>
    <row r="1318" spans="1:31" x14ac:dyDescent="0.25">
      <c r="A1318" s="10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  <c r="AA1318" s="10"/>
      <c r="AB1318" s="10"/>
      <c r="AC1318" s="10"/>
      <c r="AD1318" s="10"/>
      <c r="AE1318" s="10"/>
    </row>
    <row r="1319" spans="1:31" x14ac:dyDescent="0.25">
      <c r="A1319" s="10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  <c r="AA1319" s="10"/>
      <c r="AB1319" s="10"/>
      <c r="AC1319" s="10"/>
      <c r="AD1319" s="10"/>
      <c r="AE1319" s="10"/>
    </row>
    <row r="1320" spans="1:31" x14ac:dyDescent="0.25">
      <c r="A1320" s="10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  <c r="AA1320" s="10"/>
      <c r="AB1320" s="10"/>
      <c r="AC1320" s="10"/>
      <c r="AD1320" s="10"/>
      <c r="AE1320" s="10"/>
    </row>
    <row r="1321" spans="1:31" x14ac:dyDescent="0.25">
      <c r="A1321" s="10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  <c r="AA1321" s="10"/>
      <c r="AB1321" s="10"/>
      <c r="AC1321" s="10"/>
      <c r="AD1321" s="10"/>
      <c r="AE1321" s="10"/>
    </row>
    <row r="1322" spans="1:31" x14ac:dyDescent="0.25">
      <c r="A1322" s="10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  <c r="AA1322" s="10"/>
      <c r="AB1322" s="10"/>
      <c r="AC1322" s="10"/>
      <c r="AD1322" s="10"/>
      <c r="AE1322" s="10"/>
    </row>
    <row r="1323" spans="1:31" x14ac:dyDescent="0.25">
      <c r="A1323" s="10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  <c r="AA1323" s="10"/>
      <c r="AB1323" s="10"/>
      <c r="AC1323" s="10"/>
      <c r="AD1323" s="10"/>
      <c r="AE1323" s="10"/>
    </row>
    <row r="1324" spans="1:31" x14ac:dyDescent="0.25">
      <c r="A1324" s="10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  <c r="AA1324" s="10"/>
      <c r="AB1324" s="10"/>
      <c r="AC1324" s="10"/>
      <c r="AD1324" s="10"/>
      <c r="AE1324" s="10"/>
    </row>
    <row r="1325" spans="1:31" x14ac:dyDescent="0.25">
      <c r="A1325" s="10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  <c r="AA1325" s="10"/>
      <c r="AB1325" s="10"/>
      <c r="AC1325" s="10"/>
      <c r="AD1325" s="10"/>
      <c r="AE1325" s="10"/>
    </row>
    <row r="1326" spans="1:31" x14ac:dyDescent="0.25">
      <c r="A1326" s="10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  <c r="AA1326" s="10"/>
      <c r="AB1326" s="10"/>
      <c r="AC1326" s="10"/>
      <c r="AD1326" s="10"/>
      <c r="AE1326" s="10"/>
    </row>
    <row r="1327" spans="1:31" x14ac:dyDescent="0.25">
      <c r="A1327" s="10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  <c r="AA1327" s="10"/>
      <c r="AB1327" s="10"/>
      <c r="AC1327" s="10"/>
      <c r="AD1327" s="10"/>
      <c r="AE1327" s="10"/>
    </row>
    <row r="1328" spans="1:31" x14ac:dyDescent="0.25">
      <c r="A1328" s="10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  <c r="AA1328" s="10"/>
      <c r="AB1328" s="10"/>
      <c r="AC1328" s="10"/>
      <c r="AD1328" s="10"/>
      <c r="AE1328" s="10"/>
    </row>
    <row r="1329" spans="1:31" x14ac:dyDescent="0.25">
      <c r="A1329" s="10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  <c r="AA1329" s="10"/>
      <c r="AB1329" s="10"/>
      <c r="AC1329" s="10"/>
      <c r="AD1329" s="10"/>
      <c r="AE1329" s="10"/>
    </row>
    <row r="1330" spans="1:31" x14ac:dyDescent="0.25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</row>
    <row r="1331" spans="1:31" x14ac:dyDescent="0.25">
      <c r="A1331" s="10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  <c r="AA1331" s="10"/>
      <c r="AB1331" s="10"/>
      <c r="AC1331" s="10"/>
      <c r="AD1331" s="10"/>
      <c r="AE1331" s="10"/>
    </row>
    <row r="1332" spans="1:31" x14ac:dyDescent="0.25">
      <c r="A1332" s="10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</row>
    <row r="1333" spans="1:31" x14ac:dyDescent="0.25">
      <c r="A1333" s="10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  <c r="AA1333" s="10"/>
      <c r="AB1333" s="10"/>
      <c r="AC1333" s="10"/>
      <c r="AD1333" s="10"/>
      <c r="AE1333" s="10"/>
    </row>
    <row r="1334" spans="1:31" x14ac:dyDescent="0.25">
      <c r="A1334" s="10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  <c r="AA1334" s="10"/>
      <c r="AB1334" s="10"/>
      <c r="AC1334" s="10"/>
      <c r="AD1334" s="10"/>
      <c r="AE1334" s="10"/>
    </row>
    <row r="1335" spans="1:31" x14ac:dyDescent="0.25">
      <c r="A1335" s="10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  <c r="AA1335" s="10"/>
      <c r="AB1335" s="10"/>
      <c r="AC1335" s="10"/>
      <c r="AD1335" s="10"/>
      <c r="AE1335" s="10"/>
    </row>
    <row r="1336" spans="1:31" x14ac:dyDescent="0.25">
      <c r="A1336" s="10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  <c r="AA1336" s="10"/>
      <c r="AB1336" s="10"/>
      <c r="AC1336" s="10"/>
      <c r="AD1336" s="10"/>
      <c r="AE1336" s="10"/>
    </row>
    <row r="1337" spans="1:31" x14ac:dyDescent="0.25">
      <c r="A1337" s="10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  <c r="AA1337" s="10"/>
      <c r="AB1337" s="10"/>
      <c r="AC1337" s="10"/>
      <c r="AD1337" s="10"/>
      <c r="AE1337" s="10"/>
    </row>
    <row r="1338" spans="1:31" x14ac:dyDescent="0.25">
      <c r="A1338" s="10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  <c r="AA1338" s="10"/>
      <c r="AB1338" s="10"/>
      <c r="AC1338" s="10"/>
      <c r="AD1338" s="10"/>
      <c r="AE1338" s="10"/>
    </row>
    <row r="1339" spans="1:31" x14ac:dyDescent="0.25">
      <c r="A1339" s="10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  <c r="AA1339" s="10"/>
      <c r="AB1339" s="10"/>
      <c r="AC1339" s="10"/>
      <c r="AD1339" s="10"/>
      <c r="AE1339" s="10"/>
    </row>
    <row r="1340" spans="1:31" x14ac:dyDescent="0.25">
      <c r="A1340" s="10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  <c r="AA1340" s="10"/>
      <c r="AB1340" s="10"/>
      <c r="AC1340" s="10"/>
      <c r="AD1340" s="10"/>
      <c r="AE1340" s="10"/>
    </row>
    <row r="1341" spans="1:31" x14ac:dyDescent="0.25">
      <c r="A1341" s="10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  <c r="AA1341" s="10"/>
      <c r="AB1341" s="10"/>
      <c r="AC1341" s="10"/>
      <c r="AD1341" s="10"/>
      <c r="AE1341" s="10"/>
    </row>
    <row r="1342" spans="1:31" x14ac:dyDescent="0.25">
      <c r="A1342" s="10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  <c r="AA1342" s="10"/>
      <c r="AB1342" s="10"/>
      <c r="AC1342" s="10"/>
      <c r="AD1342" s="10"/>
      <c r="AE1342" s="10"/>
    </row>
    <row r="1343" spans="1:31" x14ac:dyDescent="0.25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</row>
    <row r="1344" spans="1:31" x14ac:dyDescent="0.25">
      <c r="A1344" s="10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  <c r="AA1344" s="10"/>
      <c r="AB1344" s="10"/>
      <c r="AC1344" s="10"/>
      <c r="AD1344" s="10"/>
      <c r="AE1344" s="10"/>
    </row>
    <row r="1345" spans="1:31" x14ac:dyDescent="0.25">
      <c r="A1345" s="10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  <c r="AA1345" s="10"/>
      <c r="AB1345" s="10"/>
      <c r="AC1345" s="10"/>
      <c r="AD1345" s="10"/>
      <c r="AE1345" s="10"/>
    </row>
    <row r="1346" spans="1:31" x14ac:dyDescent="0.25">
      <c r="A1346" s="10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  <c r="AA1346" s="10"/>
      <c r="AB1346" s="10"/>
      <c r="AC1346" s="10"/>
      <c r="AD1346" s="10"/>
      <c r="AE1346" s="10"/>
    </row>
    <row r="1347" spans="1:31" x14ac:dyDescent="0.25">
      <c r="A1347" s="10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  <c r="AA1347" s="10"/>
      <c r="AB1347" s="10"/>
      <c r="AC1347" s="10"/>
      <c r="AD1347" s="10"/>
      <c r="AE1347" s="10"/>
    </row>
    <row r="1348" spans="1:31" x14ac:dyDescent="0.25">
      <c r="A1348" s="10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  <c r="AA1348" s="10"/>
      <c r="AB1348" s="10"/>
      <c r="AC1348" s="10"/>
      <c r="AD1348" s="10"/>
      <c r="AE1348" s="10"/>
    </row>
    <row r="1349" spans="1:31" x14ac:dyDescent="0.25">
      <c r="A1349" s="10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  <c r="AA1349" s="10"/>
      <c r="AB1349" s="10"/>
      <c r="AC1349" s="10"/>
      <c r="AD1349" s="10"/>
      <c r="AE1349" s="10"/>
    </row>
    <row r="1350" spans="1:31" x14ac:dyDescent="0.25">
      <c r="A1350" s="10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  <c r="AA1350" s="10"/>
      <c r="AB1350" s="10"/>
      <c r="AC1350" s="10"/>
      <c r="AD1350" s="10"/>
      <c r="AE1350" s="10"/>
    </row>
    <row r="1351" spans="1:31" x14ac:dyDescent="0.25">
      <c r="A1351" s="10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  <c r="AA1351" s="10"/>
      <c r="AB1351" s="10"/>
      <c r="AC1351" s="10"/>
      <c r="AD1351" s="10"/>
      <c r="AE1351" s="10"/>
    </row>
    <row r="1352" spans="1:31" x14ac:dyDescent="0.25">
      <c r="A1352" s="10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  <c r="AA1352" s="10"/>
      <c r="AB1352" s="10"/>
      <c r="AC1352" s="10"/>
      <c r="AD1352" s="10"/>
      <c r="AE1352" s="10"/>
    </row>
    <row r="1353" spans="1:31" x14ac:dyDescent="0.25">
      <c r="A1353" s="10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  <c r="AA1353" s="10"/>
      <c r="AB1353" s="10"/>
      <c r="AC1353" s="10"/>
      <c r="AD1353" s="10"/>
      <c r="AE1353" s="10"/>
    </row>
    <row r="1354" spans="1:31" x14ac:dyDescent="0.25">
      <c r="A1354" s="10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  <c r="AA1354" s="10"/>
      <c r="AB1354" s="10"/>
      <c r="AC1354" s="10"/>
      <c r="AD1354" s="10"/>
      <c r="AE1354" s="10"/>
    </row>
    <row r="1355" spans="1:31" x14ac:dyDescent="0.25">
      <c r="A1355" s="10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  <c r="AA1355" s="10"/>
      <c r="AB1355" s="10"/>
      <c r="AC1355" s="10"/>
      <c r="AD1355" s="10"/>
      <c r="AE1355" s="10"/>
    </row>
    <row r="1356" spans="1:31" x14ac:dyDescent="0.25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</row>
    <row r="1357" spans="1:31" x14ac:dyDescent="0.25">
      <c r="A1357" s="10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  <c r="AA1357" s="10"/>
      <c r="AB1357" s="10"/>
      <c r="AC1357" s="10"/>
      <c r="AD1357" s="10"/>
      <c r="AE1357" s="10"/>
    </row>
    <row r="1358" spans="1:31" x14ac:dyDescent="0.25">
      <c r="A1358" s="10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  <c r="AA1358" s="10"/>
      <c r="AB1358" s="10"/>
      <c r="AC1358" s="10"/>
      <c r="AD1358" s="10"/>
      <c r="AE1358" s="10"/>
    </row>
    <row r="1359" spans="1:31" x14ac:dyDescent="0.25">
      <c r="A1359" s="10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  <c r="AA1359" s="10"/>
      <c r="AB1359" s="10"/>
      <c r="AC1359" s="10"/>
      <c r="AD1359" s="10"/>
      <c r="AE1359" s="10"/>
    </row>
    <row r="1360" spans="1:31" x14ac:dyDescent="0.25">
      <c r="A1360" s="10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  <c r="AA1360" s="10"/>
      <c r="AB1360" s="10"/>
      <c r="AC1360" s="10"/>
      <c r="AD1360" s="10"/>
      <c r="AE1360" s="10"/>
    </row>
    <row r="1361" spans="1:31" x14ac:dyDescent="0.25">
      <c r="A1361" s="10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  <c r="AA1361" s="10"/>
      <c r="AB1361" s="10"/>
      <c r="AC1361" s="10"/>
      <c r="AD1361" s="10"/>
      <c r="AE1361" s="10"/>
    </row>
    <row r="1362" spans="1:31" x14ac:dyDescent="0.25">
      <c r="A1362" s="10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  <c r="AA1362" s="10"/>
      <c r="AB1362" s="10"/>
      <c r="AC1362" s="10"/>
      <c r="AD1362" s="10"/>
      <c r="AE1362" s="10"/>
    </row>
    <row r="1363" spans="1:31" x14ac:dyDescent="0.25">
      <c r="A1363" s="10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  <c r="AA1363" s="10"/>
      <c r="AB1363" s="10"/>
      <c r="AC1363" s="10"/>
      <c r="AD1363" s="10"/>
      <c r="AE1363" s="10"/>
    </row>
    <row r="1364" spans="1:31" x14ac:dyDescent="0.25">
      <c r="A1364" s="10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  <c r="AA1364" s="10"/>
      <c r="AB1364" s="10"/>
      <c r="AC1364" s="10"/>
      <c r="AD1364" s="10"/>
      <c r="AE1364" s="10"/>
    </row>
    <row r="1365" spans="1:31" x14ac:dyDescent="0.25">
      <c r="A1365" s="10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  <c r="AA1365" s="10"/>
      <c r="AB1365" s="10"/>
      <c r="AC1365" s="10"/>
      <c r="AD1365" s="10"/>
      <c r="AE1365" s="10"/>
    </row>
    <row r="1366" spans="1:31" x14ac:dyDescent="0.25">
      <c r="A1366" s="10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  <c r="AA1366" s="10"/>
      <c r="AB1366" s="10"/>
      <c r="AC1366" s="10"/>
      <c r="AD1366" s="10"/>
      <c r="AE1366" s="10"/>
    </row>
    <row r="1367" spans="1:31" x14ac:dyDescent="0.25">
      <c r="A1367" s="10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  <c r="AA1367" s="10"/>
      <c r="AB1367" s="10"/>
      <c r="AC1367" s="10"/>
      <c r="AD1367" s="10"/>
      <c r="AE1367" s="10"/>
    </row>
    <row r="1368" spans="1:31" x14ac:dyDescent="0.25">
      <c r="A1368" s="10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  <c r="AA1368" s="10"/>
      <c r="AB1368" s="10"/>
      <c r="AC1368" s="10"/>
      <c r="AD1368" s="10"/>
      <c r="AE1368" s="10"/>
    </row>
    <row r="1369" spans="1:31" x14ac:dyDescent="0.25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</row>
    <row r="1370" spans="1:31" x14ac:dyDescent="0.25">
      <c r="A1370" s="10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  <c r="AA1370" s="10"/>
      <c r="AB1370" s="10"/>
      <c r="AC1370" s="10"/>
      <c r="AD1370" s="10"/>
      <c r="AE1370" s="10"/>
    </row>
    <row r="1371" spans="1:31" x14ac:dyDescent="0.25">
      <c r="A1371" s="10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0"/>
    </row>
    <row r="1372" spans="1:31" x14ac:dyDescent="0.25">
      <c r="A1372" s="10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  <c r="AA1372" s="10"/>
      <c r="AB1372" s="10"/>
      <c r="AC1372" s="10"/>
      <c r="AD1372" s="10"/>
      <c r="AE1372" s="10"/>
    </row>
    <row r="1373" spans="1:31" x14ac:dyDescent="0.25">
      <c r="A1373" s="10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  <c r="AA1373" s="10"/>
      <c r="AB1373" s="10"/>
      <c r="AC1373" s="10"/>
      <c r="AD1373" s="10"/>
      <c r="AE1373" s="10"/>
    </row>
    <row r="1374" spans="1:31" x14ac:dyDescent="0.25">
      <c r="A1374" s="10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  <c r="AA1374" s="10"/>
      <c r="AB1374" s="10"/>
      <c r="AC1374" s="10"/>
      <c r="AD1374" s="10"/>
      <c r="AE1374" s="10"/>
    </row>
    <row r="1375" spans="1:31" x14ac:dyDescent="0.25">
      <c r="A1375" s="10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  <c r="AA1375" s="10"/>
      <c r="AB1375" s="10"/>
      <c r="AC1375" s="10"/>
      <c r="AD1375" s="10"/>
      <c r="AE1375" s="10"/>
    </row>
    <row r="1376" spans="1:31" x14ac:dyDescent="0.25">
      <c r="A1376" s="10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  <c r="AA1376" s="10"/>
      <c r="AB1376" s="10"/>
      <c r="AC1376" s="10"/>
      <c r="AD1376" s="10"/>
      <c r="AE1376" s="10"/>
    </row>
    <row r="1377" spans="1:31" x14ac:dyDescent="0.25">
      <c r="A1377" s="10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  <c r="AA1377" s="10"/>
      <c r="AB1377" s="10"/>
      <c r="AC1377" s="10"/>
      <c r="AD1377" s="10"/>
      <c r="AE1377" s="10"/>
    </row>
    <row r="1378" spans="1:31" x14ac:dyDescent="0.25">
      <c r="A1378" s="10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  <c r="AA1378" s="10"/>
      <c r="AB1378" s="10"/>
      <c r="AC1378" s="10"/>
      <c r="AD1378" s="10"/>
      <c r="AE1378" s="10"/>
    </row>
    <row r="1379" spans="1:31" x14ac:dyDescent="0.25">
      <c r="A1379" s="10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  <c r="AA1379" s="10"/>
      <c r="AB1379" s="10"/>
      <c r="AC1379" s="10"/>
      <c r="AD1379" s="10"/>
      <c r="AE1379" s="10"/>
    </row>
    <row r="1380" spans="1:31" x14ac:dyDescent="0.25">
      <c r="A1380" s="10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  <c r="AA1380" s="10"/>
      <c r="AB1380" s="10"/>
      <c r="AC1380" s="10"/>
      <c r="AD1380" s="10"/>
      <c r="AE1380" s="10"/>
    </row>
    <row r="1381" spans="1:31" x14ac:dyDescent="0.25">
      <c r="A1381" s="10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  <c r="AA1381" s="10"/>
      <c r="AB1381" s="10"/>
      <c r="AC1381" s="10"/>
      <c r="AD1381" s="10"/>
      <c r="AE1381" s="10"/>
    </row>
    <row r="1382" spans="1:31" x14ac:dyDescent="0.25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10"/>
    </row>
    <row r="1383" spans="1:31" x14ac:dyDescent="0.25">
      <c r="A1383" s="10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  <c r="AA1383" s="10"/>
      <c r="AB1383" s="10"/>
      <c r="AC1383" s="10"/>
      <c r="AD1383" s="10"/>
      <c r="AE1383" s="10"/>
    </row>
    <row r="1384" spans="1:31" x14ac:dyDescent="0.25">
      <c r="A1384" s="10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  <c r="AA1384" s="10"/>
      <c r="AB1384" s="10"/>
      <c r="AC1384" s="10"/>
      <c r="AD1384" s="10"/>
      <c r="AE1384" s="10"/>
    </row>
    <row r="1385" spans="1:31" x14ac:dyDescent="0.25">
      <c r="A1385" s="10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  <c r="AA1385" s="10"/>
      <c r="AB1385" s="10"/>
      <c r="AC1385" s="10"/>
      <c r="AD1385" s="10"/>
      <c r="AE1385" s="10"/>
    </row>
    <row r="1386" spans="1:31" x14ac:dyDescent="0.25">
      <c r="A1386" s="10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  <c r="AA1386" s="10"/>
      <c r="AB1386" s="10"/>
      <c r="AC1386" s="10"/>
      <c r="AD1386" s="10"/>
      <c r="AE1386" s="10"/>
    </row>
    <row r="1387" spans="1:31" x14ac:dyDescent="0.25">
      <c r="A1387" s="10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  <c r="AA1387" s="10"/>
      <c r="AB1387" s="10"/>
      <c r="AC1387" s="10"/>
      <c r="AD1387" s="10"/>
      <c r="AE1387" s="10"/>
    </row>
    <row r="1388" spans="1:31" x14ac:dyDescent="0.25">
      <c r="A1388" s="10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  <c r="AA1388" s="10"/>
      <c r="AB1388" s="10"/>
      <c r="AC1388" s="10"/>
      <c r="AD1388" s="10"/>
      <c r="AE1388" s="10"/>
    </row>
    <row r="1389" spans="1:31" x14ac:dyDescent="0.25">
      <c r="A1389" s="10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  <c r="AA1389" s="10"/>
      <c r="AB1389" s="10"/>
      <c r="AC1389" s="10"/>
      <c r="AD1389" s="10"/>
      <c r="AE1389" s="10"/>
    </row>
    <row r="1390" spans="1:31" x14ac:dyDescent="0.25">
      <c r="A1390" s="10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  <c r="AA1390" s="10"/>
      <c r="AB1390" s="10"/>
      <c r="AC1390" s="10"/>
      <c r="AD1390" s="10"/>
      <c r="AE1390" s="10"/>
    </row>
    <row r="1391" spans="1:31" x14ac:dyDescent="0.25">
      <c r="A1391" s="10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  <c r="AA1391" s="10"/>
      <c r="AB1391" s="10"/>
      <c r="AC1391" s="10"/>
      <c r="AD1391" s="10"/>
      <c r="AE1391" s="10"/>
    </row>
    <row r="1392" spans="1:31" x14ac:dyDescent="0.25">
      <c r="A1392" s="10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  <c r="AA1392" s="10"/>
      <c r="AB1392" s="10"/>
      <c r="AC1392" s="10"/>
      <c r="AD1392" s="10"/>
      <c r="AE1392" s="10"/>
    </row>
    <row r="1393" spans="1:31" x14ac:dyDescent="0.25">
      <c r="A1393" s="10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  <c r="AA1393" s="10"/>
      <c r="AB1393" s="10"/>
      <c r="AC1393" s="10"/>
      <c r="AD1393" s="10"/>
      <c r="AE1393" s="10"/>
    </row>
    <row r="1394" spans="1:31" x14ac:dyDescent="0.25">
      <c r="A1394" s="10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  <c r="AA1394" s="10"/>
      <c r="AB1394" s="10"/>
      <c r="AC1394" s="10"/>
      <c r="AD1394" s="10"/>
      <c r="AE1394" s="10"/>
    </row>
    <row r="1395" spans="1:31" x14ac:dyDescent="0.25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10"/>
    </row>
    <row r="1396" spans="1:31" x14ac:dyDescent="0.25">
      <c r="A1396" s="10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  <c r="AA1396" s="10"/>
      <c r="AB1396" s="10"/>
      <c r="AC1396" s="10"/>
      <c r="AD1396" s="10"/>
      <c r="AE1396" s="10"/>
    </row>
    <row r="1397" spans="1:31" x14ac:dyDescent="0.25">
      <c r="A1397" s="10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  <c r="AA1397" s="10"/>
      <c r="AB1397" s="10"/>
      <c r="AC1397" s="10"/>
      <c r="AD1397" s="10"/>
      <c r="AE1397" s="10"/>
    </row>
    <row r="1398" spans="1:31" x14ac:dyDescent="0.25">
      <c r="A1398" s="10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  <c r="AA1398" s="10"/>
      <c r="AB1398" s="10"/>
      <c r="AC1398" s="10"/>
      <c r="AD1398" s="10"/>
      <c r="AE1398" s="10"/>
    </row>
    <row r="1399" spans="1:31" x14ac:dyDescent="0.25">
      <c r="A1399" s="10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  <c r="AA1399" s="10"/>
      <c r="AB1399" s="10"/>
      <c r="AC1399" s="10"/>
      <c r="AD1399" s="10"/>
      <c r="AE1399" s="10"/>
    </row>
    <row r="1400" spans="1:31" x14ac:dyDescent="0.25">
      <c r="A1400" s="10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  <c r="AA1400" s="10"/>
      <c r="AB1400" s="10"/>
      <c r="AC1400" s="10"/>
      <c r="AD1400" s="10"/>
      <c r="AE1400" s="10"/>
    </row>
    <row r="1401" spans="1:31" x14ac:dyDescent="0.25">
      <c r="A1401" s="10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  <c r="AA1401" s="10"/>
      <c r="AB1401" s="10"/>
      <c r="AC1401" s="10"/>
      <c r="AD1401" s="10"/>
      <c r="AE1401" s="10"/>
    </row>
    <row r="1402" spans="1:31" x14ac:dyDescent="0.25">
      <c r="A1402" s="10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  <c r="AA1402" s="10"/>
      <c r="AB1402" s="10"/>
      <c r="AC1402" s="10"/>
      <c r="AD1402" s="10"/>
      <c r="AE1402" s="10"/>
    </row>
    <row r="1403" spans="1:31" x14ac:dyDescent="0.25">
      <c r="A1403" s="10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  <c r="AA1403" s="10"/>
      <c r="AB1403" s="10"/>
      <c r="AC1403" s="10"/>
      <c r="AD1403" s="10"/>
      <c r="AE1403" s="10"/>
    </row>
    <row r="1404" spans="1:31" x14ac:dyDescent="0.25">
      <c r="A1404" s="10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  <c r="AA1404" s="10"/>
      <c r="AB1404" s="10"/>
      <c r="AC1404" s="10"/>
      <c r="AD1404" s="10"/>
      <c r="AE1404" s="10"/>
    </row>
    <row r="1405" spans="1:31" x14ac:dyDescent="0.25">
      <c r="A1405" s="10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  <c r="AA1405" s="10"/>
      <c r="AB1405" s="10"/>
      <c r="AC1405" s="10"/>
      <c r="AD1405" s="10"/>
      <c r="AE1405" s="10"/>
    </row>
    <row r="1406" spans="1:31" x14ac:dyDescent="0.25">
      <c r="A1406" s="10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  <c r="AA1406" s="10"/>
      <c r="AB1406" s="10"/>
      <c r="AC1406" s="10"/>
      <c r="AD1406" s="10"/>
      <c r="AE1406" s="10"/>
    </row>
    <row r="1407" spans="1:31" x14ac:dyDescent="0.25">
      <c r="A1407" s="10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  <c r="AA1407" s="10"/>
      <c r="AB1407" s="10"/>
      <c r="AC1407" s="10"/>
      <c r="AD1407" s="10"/>
      <c r="AE1407" s="10"/>
    </row>
    <row r="1408" spans="1:31" x14ac:dyDescent="0.25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10"/>
    </row>
    <row r="1409" spans="1:31" x14ac:dyDescent="0.25">
      <c r="A1409" s="10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  <c r="AA1409" s="10"/>
      <c r="AB1409" s="10"/>
      <c r="AC1409" s="10"/>
      <c r="AD1409" s="10"/>
      <c r="AE1409" s="10"/>
    </row>
    <row r="1410" spans="1:31" x14ac:dyDescent="0.25">
      <c r="A1410" s="10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  <c r="AE1410" s="10"/>
    </row>
    <row r="1411" spans="1:31" x14ac:dyDescent="0.25">
      <c r="A1411" s="10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  <c r="AA1411" s="10"/>
      <c r="AB1411" s="10"/>
      <c r="AC1411" s="10"/>
      <c r="AD1411" s="10"/>
      <c r="AE1411" s="10"/>
    </row>
    <row r="1412" spans="1:31" x14ac:dyDescent="0.25">
      <c r="A1412" s="10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  <c r="AA1412" s="10"/>
      <c r="AB1412" s="10"/>
      <c r="AC1412" s="10"/>
      <c r="AD1412" s="10"/>
      <c r="AE1412" s="10"/>
    </row>
    <row r="1413" spans="1:31" x14ac:dyDescent="0.25">
      <c r="A1413" s="10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  <c r="AA1413" s="10"/>
      <c r="AB1413" s="10"/>
      <c r="AC1413" s="10"/>
      <c r="AD1413" s="10"/>
      <c r="AE1413" s="10"/>
    </row>
    <row r="1414" spans="1:31" x14ac:dyDescent="0.25">
      <c r="A1414" s="10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  <c r="AA1414" s="10"/>
      <c r="AB1414" s="10"/>
      <c r="AC1414" s="10"/>
      <c r="AD1414" s="10"/>
      <c r="AE1414" s="10"/>
    </row>
    <row r="1415" spans="1:31" x14ac:dyDescent="0.25">
      <c r="A1415" s="10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  <c r="AA1415" s="10"/>
      <c r="AB1415" s="10"/>
      <c r="AC1415" s="10"/>
      <c r="AD1415" s="10"/>
      <c r="AE1415" s="10"/>
    </row>
    <row r="1416" spans="1:31" x14ac:dyDescent="0.25">
      <c r="A1416" s="10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  <c r="AA1416" s="10"/>
      <c r="AB1416" s="10"/>
      <c r="AC1416" s="10"/>
      <c r="AD1416" s="10"/>
      <c r="AE1416" s="10"/>
    </row>
    <row r="1417" spans="1:31" x14ac:dyDescent="0.25">
      <c r="A1417" s="10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  <c r="AA1417" s="10"/>
      <c r="AB1417" s="10"/>
      <c r="AC1417" s="10"/>
      <c r="AD1417" s="10"/>
      <c r="AE1417" s="10"/>
    </row>
    <row r="1418" spans="1:31" x14ac:dyDescent="0.25">
      <c r="A1418" s="10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  <c r="AA1418" s="10"/>
      <c r="AB1418" s="10"/>
      <c r="AC1418" s="10"/>
      <c r="AD1418" s="10"/>
      <c r="AE1418" s="10"/>
    </row>
    <row r="1419" spans="1:31" x14ac:dyDescent="0.25">
      <c r="A1419" s="10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</row>
    <row r="1420" spans="1:31" x14ac:dyDescent="0.25">
      <c r="A1420" s="10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</row>
    <row r="1421" spans="1:31" x14ac:dyDescent="0.25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</row>
    <row r="1422" spans="1:31" x14ac:dyDescent="0.25">
      <c r="A1422" s="10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</row>
    <row r="1423" spans="1:31" x14ac:dyDescent="0.25">
      <c r="A1423" s="10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</row>
    <row r="1424" spans="1:31" x14ac:dyDescent="0.25">
      <c r="A1424" s="10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</row>
    <row r="1425" spans="1:31" x14ac:dyDescent="0.25">
      <c r="A1425" s="10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</row>
    <row r="1426" spans="1:31" x14ac:dyDescent="0.25">
      <c r="A1426" s="10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</row>
    <row r="1427" spans="1:31" x14ac:dyDescent="0.25">
      <c r="A1427" s="10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</row>
    <row r="1428" spans="1:31" x14ac:dyDescent="0.25">
      <c r="A1428" s="10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</row>
    <row r="1429" spans="1:31" x14ac:dyDescent="0.25">
      <c r="A1429" s="10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</row>
    <row r="1430" spans="1:31" x14ac:dyDescent="0.25">
      <c r="A1430" s="10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</row>
    <row r="1431" spans="1:31" x14ac:dyDescent="0.25">
      <c r="A1431" s="10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</row>
    <row r="1432" spans="1:31" x14ac:dyDescent="0.25">
      <c r="A1432" s="10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</row>
    <row r="1433" spans="1:31" x14ac:dyDescent="0.25">
      <c r="A1433" s="10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</row>
    <row r="1434" spans="1:31" x14ac:dyDescent="0.25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0"/>
    </row>
    <row r="1435" spans="1:31" x14ac:dyDescent="0.25">
      <c r="A1435" s="10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  <c r="AA1435" s="10"/>
      <c r="AB1435" s="10"/>
      <c r="AC1435" s="10"/>
      <c r="AD1435" s="10"/>
      <c r="AE1435" s="10"/>
    </row>
    <row r="1436" spans="1:31" x14ac:dyDescent="0.25">
      <c r="A1436" s="10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  <c r="AA1436" s="10"/>
      <c r="AB1436" s="10"/>
      <c r="AC1436" s="10"/>
      <c r="AD1436" s="10"/>
      <c r="AE1436" s="10"/>
    </row>
    <row r="1437" spans="1:31" x14ac:dyDescent="0.25">
      <c r="A1437" s="10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  <c r="AA1437" s="10"/>
      <c r="AB1437" s="10"/>
      <c r="AC1437" s="10"/>
      <c r="AD1437" s="10"/>
      <c r="AE1437" s="10"/>
    </row>
    <row r="1438" spans="1:31" x14ac:dyDescent="0.25">
      <c r="A1438" s="10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  <c r="AA1438" s="10"/>
      <c r="AB1438" s="10"/>
      <c r="AC1438" s="10"/>
      <c r="AD1438" s="10"/>
      <c r="AE1438" s="10"/>
    </row>
    <row r="1439" spans="1:31" x14ac:dyDescent="0.25">
      <c r="A1439" s="10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  <c r="AA1439" s="10"/>
      <c r="AB1439" s="10"/>
      <c r="AC1439" s="10"/>
      <c r="AD1439" s="10"/>
      <c r="AE1439" s="10"/>
    </row>
    <row r="1440" spans="1:31" x14ac:dyDescent="0.25">
      <c r="A1440" s="10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  <c r="AA1440" s="10"/>
      <c r="AB1440" s="10"/>
      <c r="AC1440" s="10"/>
      <c r="AD1440" s="10"/>
      <c r="AE1440" s="10"/>
    </row>
    <row r="1441" spans="1:31" x14ac:dyDescent="0.25">
      <c r="A1441" s="10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  <c r="AA1441" s="10"/>
      <c r="AB1441" s="10"/>
      <c r="AC1441" s="10"/>
      <c r="AD1441" s="10"/>
      <c r="AE1441" s="10"/>
    </row>
    <row r="1442" spans="1:31" x14ac:dyDescent="0.25">
      <c r="A1442" s="10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  <c r="AA1442" s="10"/>
      <c r="AB1442" s="10"/>
      <c r="AC1442" s="10"/>
      <c r="AD1442" s="10"/>
      <c r="AE1442" s="10"/>
    </row>
    <row r="1443" spans="1:31" x14ac:dyDescent="0.25">
      <c r="A1443" s="10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  <c r="AA1443" s="10"/>
      <c r="AB1443" s="10"/>
      <c r="AC1443" s="10"/>
      <c r="AD1443" s="10"/>
      <c r="AE1443" s="10"/>
    </row>
    <row r="1444" spans="1:31" x14ac:dyDescent="0.25">
      <c r="A1444" s="10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  <c r="AA1444" s="10"/>
      <c r="AB1444" s="10"/>
      <c r="AC1444" s="10"/>
      <c r="AD1444" s="10"/>
      <c r="AE1444" s="10"/>
    </row>
    <row r="1445" spans="1:31" x14ac:dyDescent="0.25">
      <c r="A1445" s="10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  <c r="AA1445" s="10"/>
      <c r="AB1445" s="10"/>
      <c r="AC1445" s="10"/>
      <c r="AD1445" s="10"/>
      <c r="AE1445" s="10"/>
    </row>
    <row r="1446" spans="1:31" x14ac:dyDescent="0.25">
      <c r="A1446" s="10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  <c r="AA1446" s="10"/>
      <c r="AB1446" s="10"/>
      <c r="AC1446" s="10"/>
      <c r="AD1446" s="10"/>
      <c r="AE1446" s="10"/>
    </row>
    <row r="1447" spans="1:31" x14ac:dyDescent="0.25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</row>
    <row r="1448" spans="1:31" x14ac:dyDescent="0.25">
      <c r="A1448" s="10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  <c r="AA1448" s="10"/>
      <c r="AB1448" s="10"/>
      <c r="AC1448" s="10"/>
      <c r="AD1448" s="10"/>
      <c r="AE1448" s="10"/>
    </row>
    <row r="1449" spans="1:31" x14ac:dyDescent="0.25">
      <c r="A1449" s="10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  <c r="AE1449" s="10"/>
    </row>
    <row r="1450" spans="1:31" x14ac:dyDescent="0.25">
      <c r="A1450" s="10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  <c r="AA1450" s="10"/>
      <c r="AB1450" s="10"/>
      <c r="AC1450" s="10"/>
      <c r="AD1450" s="10"/>
      <c r="AE1450" s="10"/>
    </row>
    <row r="1451" spans="1:31" x14ac:dyDescent="0.25">
      <c r="A1451" s="10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  <c r="AA1451" s="10"/>
      <c r="AB1451" s="10"/>
      <c r="AC1451" s="10"/>
      <c r="AD1451" s="10"/>
      <c r="AE1451" s="10"/>
    </row>
    <row r="1452" spans="1:31" x14ac:dyDescent="0.25">
      <c r="A1452" s="10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  <c r="AA1452" s="10"/>
      <c r="AB1452" s="10"/>
      <c r="AC1452" s="10"/>
      <c r="AD1452" s="10"/>
      <c r="AE1452" s="10"/>
    </row>
    <row r="1453" spans="1:31" x14ac:dyDescent="0.25">
      <c r="A1453" s="10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  <c r="AA1453" s="10"/>
      <c r="AB1453" s="10"/>
      <c r="AC1453" s="10"/>
      <c r="AD1453" s="10"/>
      <c r="AE1453" s="10"/>
    </row>
    <row r="1454" spans="1:31" x14ac:dyDescent="0.25">
      <c r="A1454" s="10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  <c r="AA1454" s="10"/>
      <c r="AB1454" s="10"/>
      <c r="AC1454" s="10"/>
      <c r="AD1454" s="10"/>
      <c r="AE1454" s="10"/>
    </row>
    <row r="1455" spans="1:31" x14ac:dyDescent="0.25">
      <c r="A1455" s="10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  <c r="AA1455" s="10"/>
      <c r="AB1455" s="10"/>
      <c r="AC1455" s="10"/>
      <c r="AD1455" s="10"/>
      <c r="AE1455" s="10"/>
    </row>
    <row r="1456" spans="1:31" x14ac:dyDescent="0.25">
      <c r="A1456" s="10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  <c r="AA1456" s="10"/>
      <c r="AB1456" s="10"/>
      <c r="AC1456" s="10"/>
      <c r="AD1456" s="10"/>
      <c r="AE1456" s="10"/>
    </row>
    <row r="1457" spans="1:31" x14ac:dyDescent="0.25">
      <c r="A1457" s="10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  <c r="AA1457" s="10"/>
      <c r="AB1457" s="10"/>
      <c r="AC1457" s="10"/>
      <c r="AD1457" s="10"/>
      <c r="AE1457" s="10"/>
    </row>
    <row r="1458" spans="1:31" x14ac:dyDescent="0.25">
      <c r="A1458" s="10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  <c r="AA1458" s="10"/>
      <c r="AB1458" s="10"/>
      <c r="AC1458" s="10"/>
      <c r="AD1458" s="10"/>
      <c r="AE1458" s="10"/>
    </row>
    <row r="1459" spans="1:31" x14ac:dyDescent="0.25">
      <c r="A1459" s="10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  <c r="AA1459" s="10"/>
      <c r="AB1459" s="10"/>
      <c r="AC1459" s="10"/>
      <c r="AD1459" s="10"/>
      <c r="AE1459" s="10"/>
    </row>
    <row r="1460" spans="1:31" x14ac:dyDescent="0.25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  <c r="AE1460" s="10"/>
    </row>
    <row r="1461" spans="1:31" x14ac:dyDescent="0.25">
      <c r="A1461" s="10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  <c r="AA1461" s="10"/>
      <c r="AB1461" s="10"/>
      <c r="AC1461" s="10"/>
      <c r="AD1461" s="10"/>
      <c r="AE1461" s="10"/>
    </row>
    <row r="1462" spans="1:31" x14ac:dyDescent="0.25">
      <c r="A1462" s="10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  <c r="AA1462" s="10"/>
      <c r="AB1462" s="10"/>
      <c r="AC1462" s="10"/>
      <c r="AD1462" s="10"/>
      <c r="AE1462" s="10"/>
    </row>
    <row r="1463" spans="1:31" x14ac:dyDescent="0.25">
      <c r="A1463" s="10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  <c r="AA1463" s="10"/>
      <c r="AB1463" s="10"/>
      <c r="AC1463" s="10"/>
      <c r="AD1463" s="10"/>
      <c r="AE1463" s="10"/>
    </row>
    <row r="1464" spans="1:31" x14ac:dyDescent="0.25">
      <c r="A1464" s="10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  <c r="AA1464" s="10"/>
      <c r="AB1464" s="10"/>
      <c r="AC1464" s="10"/>
      <c r="AD1464" s="10"/>
      <c r="AE1464" s="10"/>
    </row>
    <row r="1465" spans="1:31" x14ac:dyDescent="0.25">
      <c r="A1465" s="10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  <c r="AA1465" s="10"/>
      <c r="AB1465" s="10"/>
      <c r="AC1465" s="10"/>
      <c r="AD1465" s="10"/>
      <c r="AE1465" s="10"/>
    </row>
    <row r="1466" spans="1:31" x14ac:dyDescent="0.25">
      <c r="A1466" s="10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  <c r="AA1466" s="10"/>
      <c r="AB1466" s="10"/>
      <c r="AC1466" s="10"/>
      <c r="AD1466" s="10"/>
      <c r="AE1466" s="10"/>
    </row>
    <row r="1467" spans="1:31" x14ac:dyDescent="0.25">
      <c r="A1467" s="10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  <c r="AA1467" s="10"/>
      <c r="AB1467" s="10"/>
      <c r="AC1467" s="10"/>
      <c r="AD1467" s="10"/>
      <c r="AE1467" s="10"/>
    </row>
    <row r="1468" spans="1:31" x14ac:dyDescent="0.25">
      <c r="A1468" s="10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  <c r="AA1468" s="10"/>
      <c r="AB1468" s="10"/>
      <c r="AC1468" s="10"/>
      <c r="AD1468" s="10"/>
      <c r="AE1468" s="10"/>
    </row>
    <row r="1469" spans="1:31" x14ac:dyDescent="0.25">
      <c r="A1469" s="10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  <c r="AA1469" s="10"/>
      <c r="AB1469" s="10"/>
      <c r="AC1469" s="10"/>
      <c r="AD1469" s="10"/>
      <c r="AE1469" s="10"/>
    </row>
    <row r="1470" spans="1:31" x14ac:dyDescent="0.25">
      <c r="A1470" s="10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  <c r="AA1470" s="10"/>
      <c r="AB1470" s="10"/>
      <c r="AC1470" s="10"/>
      <c r="AD1470" s="10"/>
      <c r="AE1470" s="10"/>
    </row>
    <row r="1471" spans="1:31" x14ac:dyDescent="0.25">
      <c r="A1471" s="10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  <c r="AA1471" s="10"/>
      <c r="AB1471" s="10"/>
      <c r="AC1471" s="10"/>
      <c r="AD1471" s="10"/>
      <c r="AE1471" s="10"/>
    </row>
    <row r="1472" spans="1:31" x14ac:dyDescent="0.25">
      <c r="A1472" s="10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  <c r="AA1472" s="10"/>
      <c r="AB1472" s="10"/>
      <c r="AC1472" s="10"/>
      <c r="AD1472" s="10"/>
      <c r="AE1472" s="10"/>
    </row>
    <row r="1473" spans="1:31" x14ac:dyDescent="0.25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0"/>
    </row>
    <row r="1474" spans="1:31" x14ac:dyDescent="0.25">
      <c r="A1474" s="10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  <c r="AA1474" s="10"/>
      <c r="AB1474" s="10"/>
      <c r="AC1474" s="10"/>
      <c r="AD1474" s="10"/>
      <c r="AE1474" s="10"/>
    </row>
    <row r="1475" spans="1:31" x14ac:dyDescent="0.25">
      <c r="A1475" s="10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  <c r="AA1475" s="10"/>
      <c r="AB1475" s="10"/>
      <c r="AC1475" s="10"/>
      <c r="AD1475" s="10"/>
      <c r="AE1475" s="10"/>
    </row>
    <row r="1476" spans="1:31" x14ac:dyDescent="0.25">
      <c r="A1476" s="10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  <c r="AA1476" s="10"/>
      <c r="AB1476" s="10"/>
      <c r="AC1476" s="10"/>
      <c r="AD1476" s="10"/>
      <c r="AE1476" s="10"/>
    </row>
    <row r="1477" spans="1:31" x14ac:dyDescent="0.25">
      <c r="A1477" s="10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  <c r="AA1477" s="10"/>
      <c r="AB1477" s="10"/>
      <c r="AC1477" s="10"/>
      <c r="AD1477" s="10"/>
      <c r="AE1477" s="10"/>
    </row>
    <row r="1478" spans="1:31" x14ac:dyDescent="0.25">
      <c r="A1478" s="10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  <c r="AA1478" s="10"/>
      <c r="AB1478" s="10"/>
      <c r="AC1478" s="10"/>
      <c r="AD1478" s="10"/>
      <c r="AE1478" s="10"/>
    </row>
    <row r="1479" spans="1:31" x14ac:dyDescent="0.25">
      <c r="A1479" s="10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  <c r="AA1479" s="10"/>
      <c r="AB1479" s="10"/>
      <c r="AC1479" s="10"/>
      <c r="AD1479" s="10"/>
      <c r="AE1479" s="10"/>
    </row>
    <row r="1480" spans="1:31" x14ac:dyDescent="0.25">
      <c r="A1480" s="10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  <c r="AA1480" s="10"/>
      <c r="AB1480" s="10"/>
      <c r="AC1480" s="10"/>
      <c r="AD1480" s="10"/>
      <c r="AE1480" s="10"/>
    </row>
    <row r="1481" spans="1:31" x14ac:dyDescent="0.25">
      <c r="A1481" s="10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  <c r="AA1481" s="10"/>
      <c r="AB1481" s="10"/>
      <c r="AC1481" s="10"/>
      <c r="AD1481" s="10"/>
      <c r="AE1481" s="10"/>
    </row>
    <row r="1482" spans="1:31" x14ac:dyDescent="0.25">
      <c r="A1482" s="10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  <c r="AA1482" s="10"/>
      <c r="AB1482" s="10"/>
      <c r="AC1482" s="10"/>
      <c r="AD1482" s="10"/>
      <c r="AE1482" s="10"/>
    </row>
    <row r="1483" spans="1:31" x14ac:dyDescent="0.25">
      <c r="A1483" s="10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  <c r="AA1483" s="10"/>
      <c r="AB1483" s="10"/>
      <c r="AC1483" s="10"/>
      <c r="AD1483" s="10"/>
      <c r="AE1483" s="10"/>
    </row>
    <row r="1484" spans="1:31" x14ac:dyDescent="0.25">
      <c r="A1484" s="10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  <c r="AA1484" s="10"/>
      <c r="AB1484" s="10"/>
      <c r="AC1484" s="10"/>
      <c r="AD1484" s="10"/>
      <c r="AE1484" s="10"/>
    </row>
    <row r="1485" spans="1:31" x14ac:dyDescent="0.25">
      <c r="A1485" s="10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  <c r="AA1485" s="10"/>
      <c r="AB1485" s="10"/>
      <c r="AC1485" s="10"/>
      <c r="AD1485" s="10"/>
      <c r="AE1485" s="10"/>
    </row>
    <row r="1486" spans="1:31" x14ac:dyDescent="0.25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</row>
    <row r="1487" spans="1:31" x14ac:dyDescent="0.25">
      <c r="A1487" s="10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  <c r="AA1487" s="10"/>
      <c r="AB1487" s="10"/>
      <c r="AC1487" s="10"/>
      <c r="AD1487" s="10"/>
      <c r="AE1487" s="10"/>
    </row>
    <row r="1488" spans="1:31" x14ac:dyDescent="0.25">
      <c r="A1488" s="10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  <c r="AE1488" s="10"/>
    </row>
    <row r="1489" spans="1:31" x14ac:dyDescent="0.25">
      <c r="A1489" s="10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  <c r="AA1489" s="10"/>
      <c r="AB1489" s="10"/>
      <c r="AC1489" s="10"/>
      <c r="AD1489" s="10"/>
      <c r="AE1489" s="10"/>
    </row>
    <row r="1490" spans="1:31" x14ac:dyDescent="0.25">
      <c r="A1490" s="10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  <c r="AA1490" s="10"/>
      <c r="AB1490" s="10"/>
      <c r="AC1490" s="10"/>
      <c r="AD1490" s="10"/>
      <c r="AE1490" s="10"/>
    </row>
    <row r="1491" spans="1:31" x14ac:dyDescent="0.25">
      <c r="A1491" s="10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  <c r="AA1491" s="10"/>
      <c r="AB1491" s="10"/>
      <c r="AC1491" s="10"/>
      <c r="AD1491" s="10"/>
      <c r="AE1491" s="10"/>
    </row>
    <row r="1492" spans="1:31" x14ac:dyDescent="0.25">
      <c r="A1492" s="10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  <c r="AA1492" s="10"/>
      <c r="AB1492" s="10"/>
      <c r="AC1492" s="10"/>
      <c r="AD1492" s="10"/>
      <c r="AE1492" s="10"/>
    </row>
    <row r="1493" spans="1:31" x14ac:dyDescent="0.25">
      <c r="A1493" s="10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  <c r="AA1493" s="10"/>
      <c r="AB1493" s="10"/>
      <c r="AC1493" s="10"/>
      <c r="AD1493" s="10"/>
      <c r="AE1493" s="10"/>
    </row>
    <row r="1494" spans="1:31" x14ac:dyDescent="0.25">
      <c r="A1494" s="10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  <c r="AA1494" s="10"/>
      <c r="AB1494" s="10"/>
      <c r="AC1494" s="10"/>
      <c r="AD1494" s="10"/>
      <c r="AE1494" s="10"/>
    </row>
    <row r="1495" spans="1:31" x14ac:dyDescent="0.25">
      <c r="A1495" s="10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  <c r="AA1495" s="10"/>
      <c r="AB1495" s="10"/>
      <c r="AC1495" s="10"/>
      <c r="AD1495" s="10"/>
      <c r="AE1495" s="10"/>
    </row>
    <row r="1496" spans="1:31" x14ac:dyDescent="0.25">
      <c r="A1496" s="10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  <c r="AA1496" s="10"/>
      <c r="AB1496" s="10"/>
      <c r="AC1496" s="10"/>
      <c r="AD1496" s="10"/>
      <c r="AE1496" s="10"/>
    </row>
    <row r="1497" spans="1:31" x14ac:dyDescent="0.25">
      <c r="A1497" s="10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  <c r="AA1497" s="10"/>
      <c r="AB1497" s="10"/>
      <c r="AC1497" s="10"/>
      <c r="AD1497" s="10"/>
      <c r="AE1497" s="10"/>
    </row>
    <row r="1498" spans="1:31" x14ac:dyDescent="0.25">
      <c r="A1498" s="10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  <c r="AA1498" s="10"/>
      <c r="AB1498" s="10"/>
      <c r="AC1498" s="10"/>
      <c r="AD1498" s="10"/>
      <c r="AE1498" s="10"/>
    </row>
    <row r="1499" spans="1:31" x14ac:dyDescent="0.25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10"/>
    </row>
    <row r="1500" spans="1:31" x14ac:dyDescent="0.25">
      <c r="A1500" s="10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  <c r="AA1500" s="10"/>
      <c r="AB1500" s="10"/>
      <c r="AC1500" s="10"/>
      <c r="AD1500" s="10"/>
      <c r="AE1500" s="10"/>
    </row>
    <row r="1501" spans="1:31" x14ac:dyDescent="0.25">
      <c r="A1501" s="10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  <c r="AA1501" s="10"/>
      <c r="AB1501" s="10"/>
      <c r="AC1501" s="10"/>
      <c r="AD1501" s="10"/>
      <c r="AE1501" s="10"/>
    </row>
    <row r="1502" spans="1:31" x14ac:dyDescent="0.25">
      <c r="A1502" s="10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  <c r="AA1502" s="10"/>
      <c r="AB1502" s="10"/>
      <c r="AC1502" s="10"/>
      <c r="AD1502" s="10"/>
      <c r="AE1502" s="10"/>
    </row>
    <row r="1503" spans="1:31" x14ac:dyDescent="0.25">
      <c r="A1503" s="10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  <c r="AA1503" s="10"/>
      <c r="AB1503" s="10"/>
      <c r="AC1503" s="10"/>
      <c r="AD1503" s="10"/>
      <c r="AE1503" s="10"/>
    </row>
    <row r="1504" spans="1:31" x14ac:dyDescent="0.25">
      <c r="A1504" s="10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  <c r="AA1504" s="10"/>
      <c r="AB1504" s="10"/>
      <c r="AC1504" s="10"/>
      <c r="AD1504" s="10"/>
      <c r="AE1504" s="10"/>
    </row>
    <row r="1505" spans="1:31" x14ac:dyDescent="0.25">
      <c r="A1505" s="10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  <c r="AA1505" s="10"/>
      <c r="AB1505" s="10"/>
      <c r="AC1505" s="10"/>
      <c r="AD1505" s="10"/>
      <c r="AE1505" s="10"/>
    </row>
    <row r="1506" spans="1:31" x14ac:dyDescent="0.25">
      <c r="A1506" s="10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  <c r="AA1506" s="10"/>
      <c r="AB1506" s="10"/>
      <c r="AC1506" s="10"/>
      <c r="AD1506" s="10"/>
      <c r="AE1506" s="10"/>
    </row>
    <row r="1507" spans="1:31" x14ac:dyDescent="0.25">
      <c r="A1507" s="10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  <c r="AA1507" s="10"/>
      <c r="AB1507" s="10"/>
      <c r="AC1507" s="10"/>
      <c r="AD1507" s="10"/>
      <c r="AE1507" s="10"/>
    </row>
    <row r="1508" spans="1:31" x14ac:dyDescent="0.25">
      <c r="A1508" s="10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  <c r="AA1508" s="10"/>
      <c r="AB1508" s="10"/>
      <c r="AC1508" s="10"/>
      <c r="AD1508" s="10"/>
      <c r="AE1508" s="10"/>
    </row>
    <row r="1509" spans="1:31" x14ac:dyDescent="0.25">
      <c r="A1509" s="10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  <c r="AA1509" s="10"/>
      <c r="AB1509" s="10"/>
      <c r="AC1509" s="10"/>
      <c r="AD1509" s="10"/>
      <c r="AE1509" s="10"/>
    </row>
    <row r="1510" spans="1:31" x14ac:dyDescent="0.25">
      <c r="A1510" s="10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  <c r="AA1510" s="10"/>
      <c r="AB1510" s="10"/>
      <c r="AC1510" s="10"/>
      <c r="AD1510" s="10"/>
      <c r="AE1510" s="10"/>
    </row>
    <row r="1511" spans="1:31" x14ac:dyDescent="0.25">
      <c r="A1511" s="10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  <c r="AA1511" s="10"/>
      <c r="AB1511" s="10"/>
      <c r="AC1511" s="10"/>
      <c r="AD1511" s="10"/>
      <c r="AE1511" s="10"/>
    </row>
    <row r="1512" spans="1:31" x14ac:dyDescent="0.25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  <c r="AE1512" s="10"/>
    </row>
    <row r="1513" spans="1:31" x14ac:dyDescent="0.25">
      <c r="A1513" s="10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  <c r="AA1513" s="10"/>
      <c r="AB1513" s="10"/>
      <c r="AC1513" s="10"/>
      <c r="AD1513" s="10"/>
      <c r="AE1513" s="10"/>
    </row>
    <row r="1514" spans="1:31" x14ac:dyDescent="0.25">
      <c r="A1514" s="10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  <c r="AA1514" s="10"/>
      <c r="AB1514" s="10"/>
      <c r="AC1514" s="10"/>
      <c r="AD1514" s="10"/>
      <c r="AE1514" s="10"/>
    </row>
    <row r="1515" spans="1:31" x14ac:dyDescent="0.25">
      <c r="A1515" s="10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  <c r="AA1515" s="10"/>
      <c r="AB1515" s="10"/>
      <c r="AC1515" s="10"/>
      <c r="AD1515" s="10"/>
      <c r="AE1515" s="10"/>
    </row>
    <row r="1516" spans="1:31" x14ac:dyDescent="0.25">
      <c r="A1516" s="10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  <c r="AA1516" s="10"/>
      <c r="AB1516" s="10"/>
      <c r="AC1516" s="10"/>
      <c r="AD1516" s="10"/>
      <c r="AE1516" s="10"/>
    </row>
    <row r="1517" spans="1:31" x14ac:dyDescent="0.25">
      <c r="A1517" s="10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  <c r="AA1517" s="10"/>
      <c r="AB1517" s="10"/>
      <c r="AC1517" s="10"/>
      <c r="AD1517" s="10"/>
      <c r="AE1517" s="10"/>
    </row>
    <row r="1518" spans="1:31" x14ac:dyDescent="0.25">
      <c r="A1518" s="10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  <c r="AA1518" s="10"/>
      <c r="AB1518" s="10"/>
      <c r="AC1518" s="10"/>
      <c r="AD1518" s="10"/>
      <c r="AE1518" s="10"/>
    </row>
    <row r="1519" spans="1:31" x14ac:dyDescent="0.25">
      <c r="A1519" s="10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  <c r="AA1519" s="10"/>
      <c r="AB1519" s="10"/>
      <c r="AC1519" s="10"/>
      <c r="AD1519" s="10"/>
      <c r="AE1519" s="10"/>
    </row>
    <row r="1520" spans="1:31" x14ac:dyDescent="0.25">
      <c r="A1520" s="10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  <c r="AA1520" s="10"/>
      <c r="AB1520" s="10"/>
      <c r="AC1520" s="10"/>
      <c r="AD1520" s="10"/>
      <c r="AE1520" s="10"/>
    </row>
    <row r="1521" spans="1:31" x14ac:dyDescent="0.25">
      <c r="A1521" s="10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  <c r="AA1521" s="10"/>
      <c r="AB1521" s="10"/>
      <c r="AC1521" s="10"/>
      <c r="AD1521" s="10"/>
      <c r="AE1521" s="10"/>
    </row>
    <row r="1522" spans="1:31" x14ac:dyDescent="0.25">
      <c r="A1522" s="10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  <c r="AA1522" s="10"/>
      <c r="AB1522" s="10"/>
      <c r="AC1522" s="10"/>
      <c r="AD1522" s="10"/>
      <c r="AE1522" s="10"/>
    </row>
    <row r="1523" spans="1:31" x14ac:dyDescent="0.25">
      <c r="A1523" s="10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  <c r="AA1523" s="10"/>
      <c r="AB1523" s="10"/>
      <c r="AC1523" s="10"/>
      <c r="AD1523" s="10"/>
      <c r="AE1523" s="10"/>
    </row>
    <row r="1524" spans="1:31" x14ac:dyDescent="0.25">
      <c r="A1524" s="10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  <c r="AA1524" s="10"/>
      <c r="AB1524" s="10"/>
      <c r="AC1524" s="10"/>
      <c r="AD1524" s="10"/>
      <c r="AE1524" s="10"/>
    </row>
    <row r="1525" spans="1:31" x14ac:dyDescent="0.25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0"/>
    </row>
    <row r="1526" spans="1:31" x14ac:dyDescent="0.25">
      <c r="A1526" s="10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  <c r="AA1526" s="10"/>
      <c r="AB1526" s="10"/>
      <c r="AC1526" s="10"/>
      <c r="AD1526" s="10"/>
      <c r="AE1526" s="10"/>
    </row>
    <row r="1527" spans="1:31" x14ac:dyDescent="0.25">
      <c r="A1527" s="10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  <c r="AE1527" s="10"/>
    </row>
    <row r="1528" spans="1:31" x14ac:dyDescent="0.25">
      <c r="A1528" s="10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  <c r="AA1528" s="10"/>
      <c r="AB1528" s="10"/>
      <c r="AC1528" s="10"/>
      <c r="AD1528" s="10"/>
      <c r="AE1528" s="10"/>
    </row>
    <row r="1529" spans="1:31" x14ac:dyDescent="0.25">
      <c r="A1529" s="10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  <c r="AA1529" s="10"/>
      <c r="AB1529" s="10"/>
      <c r="AC1529" s="10"/>
      <c r="AD1529" s="10"/>
      <c r="AE1529" s="10"/>
    </row>
    <row r="1530" spans="1:31" x14ac:dyDescent="0.25">
      <c r="A1530" s="10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  <c r="AA1530" s="10"/>
      <c r="AB1530" s="10"/>
      <c r="AC1530" s="10"/>
      <c r="AD1530" s="10"/>
      <c r="AE1530" s="10"/>
    </row>
    <row r="1531" spans="1:31" x14ac:dyDescent="0.25">
      <c r="A1531" s="10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  <c r="AA1531" s="10"/>
      <c r="AB1531" s="10"/>
      <c r="AC1531" s="10"/>
      <c r="AD1531" s="10"/>
      <c r="AE1531" s="10"/>
    </row>
    <row r="1532" spans="1:31" x14ac:dyDescent="0.25">
      <c r="A1532" s="10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  <c r="AA1532" s="10"/>
      <c r="AB1532" s="10"/>
      <c r="AC1532" s="10"/>
      <c r="AD1532" s="10"/>
      <c r="AE1532" s="10"/>
    </row>
    <row r="1533" spans="1:31" x14ac:dyDescent="0.25">
      <c r="A1533" s="10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  <c r="AA1533" s="10"/>
      <c r="AB1533" s="10"/>
      <c r="AC1533" s="10"/>
      <c r="AD1533" s="10"/>
      <c r="AE1533" s="10"/>
    </row>
    <row r="1534" spans="1:31" x14ac:dyDescent="0.25">
      <c r="A1534" s="10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  <c r="AA1534" s="10"/>
      <c r="AB1534" s="10"/>
      <c r="AC1534" s="10"/>
      <c r="AD1534" s="10"/>
      <c r="AE1534" s="10"/>
    </row>
    <row r="1535" spans="1:31" x14ac:dyDescent="0.25">
      <c r="A1535" s="10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  <c r="AA1535" s="10"/>
      <c r="AB1535" s="10"/>
      <c r="AC1535" s="10"/>
      <c r="AD1535" s="10"/>
      <c r="AE1535" s="10"/>
    </row>
    <row r="1536" spans="1:31" x14ac:dyDescent="0.25">
      <c r="A1536" s="10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  <c r="AA1536" s="10"/>
      <c r="AB1536" s="10"/>
      <c r="AC1536" s="10"/>
      <c r="AD1536" s="10"/>
      <c r="AE1536" s="10"/>
    </row>
    <row r="1537" spans="1:31" x14ac:dyDescent="0.25">
      <c r="A1537" s="10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  <c r="AA1537" s="10"/>
      <c r="AB1537" s="10"/>
      <c r="AC1537" s="10"/>
      <c r="AD1537" s="10"/>
      <c r="AE1537" s="10"/>
    </row>
    <row r="1538" spans="1:31" x14ac:dyDescent="0.25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  <c r="AE1538" s="10"/>
    </row>
    <row r="1539" spans="1:31" x14ac:dyDescent="0.25">
      <c r="A1539" s="10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  <c r="AA1539" s="10"/>
      <c r="AB1539" s="10"/>
      <c r="AC1539" s="10"/>
      <c r="AD1539" s="10"/>
      <c r="AE1539" s="10"/>
    </row>
    <row r="1540" spans="1:31" x14ac:dyDescent="0.25">
      <c r="A1540" s="10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  <c r="AA1540" s="10"/>
      <c r="AB1540" s="10"/>
      <c r="AC1540" s="10"/>
      <c r="AD1540" s="10"/>
      <c r="AE1540" s="10"/>
    </row>
    <row r="1541" spans="1:31" x14ac:dyDescent="0.25">
      <c r="A1541" s="10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  <c r="AA1541" s="10"/>
      <c r="AB1541" s="10"/>
      <c r="AC1541" s="10"/>
      <c r="AD1541" s="10"/>
      <c r="AE1541" s="10"/>
    </row>
    <row r="1542" spans="1:31" x14ac:dyDescent="0.25">
      <c r="A1542" s="10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  <c r="AA1542" s="10"/>
      <c r="AB1542" s="10"/>
      <c r="AC1542" s="10"/>
      <c r="AD1542" s="10"/>
      <c r="AE1542" s="10"/>
    </row>
    <row r="1543" spans="1:31" x14ac:dyDescent="0.25">
      <c r="A1543" s="10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  <c r="AA1543" s="10"/>
      <c r="AB1543" s="10"/>
      <c r="AC1543" s="10"/>
      <c r="AD1543" s="10"/>
      <c r="AE1543" s="10"/>
    </row>
    <row r="1544" spans="1:31" x14ac:dyDescent="0.25">
      <c r="A1544" s="10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  <c r="AA1544" s="10"/>
      <c r="AB1544" s="10"/>
      <c r="AC1544" s="10"/>
      <c r="AD1544" s="10"/>
      <c r="AE1544" s="10"/>
    </row>
    <row r="1545" spans="1:31" x14ac:dyDescent="0.25">
      <c r="A1545" s="10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  <c r="AA1545" s="10"/>
      <c r="AB1545" s="10"/>
      <c r="AC1545" s="10"/>
      <c r="AD1545" s="10"/>
      <c r="AE1545" s="10"/>
    </row>
    <row r="1546" spans="1:31" x14ac:dyDescent="0.25">
      <c r="A1546" s="10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  <c r="AA1546" s="10"/>
      <c r="AB1546" s="10"/>
      <c r="AC1546" s="10"/>
      <c r="AD1546" s="10"/>
      <c r="AE1546" s="10"/>
    </row>
    <row r="1547" spans="1:31" x14ac:dyDescent="0.25">
      <c r="A1547" s="10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  <c r="AA1547" s="10"/>
      <c r="AB1547" s="10"/>
      <c r="AC1547" s="10"/>
      <c r="AD1547" s="10"/>
      <c r="AE1547" s="10"/>
    </row>
    <row r="1548" spans="1:31" x14ac:dyDescent="0.25">
      <c r="A1548" s="10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  <c r="AA1548" s="10"/>
      <c r="AB1548" s="10"/>
      <c r="AC1548" s="10"/>
      <c r="AD1548" s="10"/>
      <c r="AE1548" s="10"/>
    </row>
    <row r="1549" spans="1:31" x14ac:dyDescent="0.25">
      <c r="A1549" s="10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  <c r="AA1549" s="10"/>
      <c r="AB1549" s="10"/>
      <c r="AC1549" s="10"/>
      <c r="AD1549" s="10"/>
      <c r="AE1549" s="10"/>
    </row>
    <row r="1550" spans="1:31" x14ac:dyDescent="0.25">
      <c r="A1550" s="10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  <c r="AA1550" s="10"/>
      <c r="AB1550" s="10"/>
      <c r="AC1550" s="10"/>
      <c r="AD1550" s="10"/>
      <c r="AE1550" s="10"/>
    </row>
    <row r="1551" spans="1:31" x14ac:dyDescent="0.25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</row>
    <row r="1552" spans="1:31" x14ac:dyDescent="0.25">
      <c r="A1552" s="10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  <c r="AA1552" s="10"/>
      <c r="AB1552" s="10"/>
      <c r="AC1552" s="10"/>
      <c r="AD1552" s="10"/>
      <c r="AE1552" s="10"/>
    </row>
    <row r="1553" spans="1:31" x14ac:dyDescent="0.25">
      <c r="A1553" s="10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  <c r="AA1553" s="10"/>
      <c r="AB1553" s="10"/>
      <c r="AC1553" s="10"/>
      <c r="AD1553" s="10"/>
      <c r="AE1553" s="10"/>
    </row>
    <row r="1554" spans="1:31" x14ac:dyDescent="0.25">
      <c r="A1554" s="10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  <c r="AA1554" s="10"/>
      <c r="AB1554" s="10"/>
      <c r="AC1554" s="10"/>
      <c r="AD1554" s="10"/>
      <c r="AE1554" s="10"/>
    </row>
    <row r="1555" spans="1:31" x14ac:dyDescent="0.25">
      <c r="A1555" s="10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  <c r="AA1555" s="10"/>
      <c r="AB1555" s="10"/>
      <c r="AC1555" s="10"/>
      <c r="AD1555" s="10"/>
      <c r="AE1555" s="10"/>
    </row>
    <row r="1556" spans="1:31" x14ac:dyDescent="0.25">
      <c r="A1556" s="10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  <c r="AA1556" s="10"/>
      <c r="AB1556" s="10"/>
      <c r="AC1556" s="10"/>
      <c r="AD1556" s="10"/>
      <c r="AE1556" s="10"/>
    </row>
    <row r="1557" spans="1:31" x14ac:dyDescent="0.25">
      <c r="A1557" s="10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  <c r="AA1557" s="10"/>
      <c r="AB1557" s="10"/>
      <c r="AC1557" s="10"/>
      <c r="AD1557" s="10"/>
      <c r="AE1557" s="10"/>
    </row>
    <row r="1558" spans="1:31" x14ac:dyDescent="0.25">
      <c r="A1558" s="10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  <c r="AA1558" s="10"/>
      <c r="AB1558" s="10"/>
      <c r="AC1558" s="10"/>
      <c r="AD1558" s="10"/>
      <c r="AE1558" s="10"/>
    </row>
    <row r="1559" spans="1:31" x14ac:dyDescent="0.25">
      <c r="A1559" s="10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  <c r="AA1559" s="10"/>
      <c r="AB1559" s="10"/>
      <c r="AC1559" s="10"/>
      <c r="AD1559" s="10"/>
      <c r="AE1559" s="10"/>
    </row>
    <row r="1560" spans="1:31" x14ac:dyDescent="0.25">
      <c r="A1560" s="10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  <c r="AA1560" s="10"/>
      <c r="AB1560" s="10"/>
      <c r="AC1560" s="10"/>
      <c r="AD1560" s="10"/>
      <c r="AE1560" s="10"/>
    </row>
  </sheetData>
  <conditionalFormatting sqref="A1:A1560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Data Dictionary For Beeke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Dimpleboy Arya</cp:lastModifiedBy>
  <dcterms:modified xsi:type="dcterms:W3CDTF">2026-04-24T12:12:06Z</dcterms:modified>
</cp:coreProperties>
</file>